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Summary" sheetId="2" r:id="rId5"/>
    <sheet state="visible" name="Dashboard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<sst xmlns="http://schemas.openxmlformats.org/spreadsheetml/2006/main" count="669" uniqueCount="79">
  <si>
    <t>invoice_id</t>
  </si>
  <si>
    <t>date</t>
  </si>
  <si>
    <t>category</t>
  </si>
  <si>
    <t>vendor</t>
  </si>
  <si>
    <t>department</t>
  </si>
  <si>
    <t>expense</t>
  </si>
  <si>
    <t>revenue</t>
  </si>
  <si>
    <t>status</t>
  </si>
  <si>
    <t>notes</t>
  </si>
  <si>
    <t>Travel</t>
  </si>
  <si>
    <t>FlyAway</t>
  </si>
  <si>
    <t>Sales</t>
  </si>
  <si>
    <t>Pending</t>
  </si>
  <si>
    <t>EuroTravel</t>
  </si>
  <si>
    <t>Finance</t>
  </si>
  <si>
    <t>Approved</t>
  </si>
  <si>
    <t>Check discrepancy</t>
  </si>
  <si>
    <t>Office Supplies</t>
  </si>
  <si>
    <t>Staples</t>
  </si>
  <si>
    <t>Operations</t>
  </si>
  <si>
    <t>Rejected</t>
  </si>
  <si>
    <t>Rejected invoice</t>
  </si>
  <si>
    <t>Hardware</t>
  </si>
  <si>
    <t>Dell</t>
  </si>
  <si>
    <t>Payment Processing</t>
  </si>
  <si>
    <t>PayPal</t>
  </si>
  <si>
    <t>Marketing</t>
  </si>
  <si>
    <t>OfficeMart</t>
  </si>
  <si>
    <t>Marketing Tools</t>
  </si>
  <si>
    <t>HubSpot</t>
  </si>
  <si>
    <t>Software Licenses</t>
  </si>
  <si>
    <t>JetBrains</t>
  </si>
  <si>
    <t>HP</t>
  </si>
  <si>
    <t>Adobe</t>
  </si>
  <si>
    <t>Subscriptions</t>
  </si>
  <si>
    <t>Slack</t>
  </si>
  <si>
    <t>Completed</t>
  </si>
  <si>
    <t>Stripe</t>
  </si>
  <si>
    <t>Consulting</t>
  </si>
  <si>
    <t>BizAdvisors</t>
  </si>
  <si>
    <t>Advertising</t>
  </si>
  <si>
    <t>Facebook Ads</t>
  </si>
  <si>
    <t>IT</t>
  </si>
  <si>
    <t>Cloud Services</t>
  </si>
  <si>
    <t>AWS</t>
  </si>
  <si>
    <t>Google Cloud</t>
  </si>
  <si>
    <t>Atlassian</t>
  </si>
  <si>
    <t>Notion</t>
  </si>
  <si>
    <t>Azure</t>
  </si>
  <si>
    <t>MailChimp</t>
  </si>
  <si>
    <t>OfficePro</t>
  </si>
  <si>
    <t>Google Ads</t>
  </si>
  <si>
    <t>Client Revenue</t>
  </si>
  <si>
    <t>Client C</t>
  </si>
  <si>
    <t>ConsultX</t>
  </si>
  <si>
    <t>Client D</t>
  </si>
  <si>
    <t>Client A</t>
  </si>
  <si>
    <t>Client B</t>
  </si>
  <si>
    <t>Financial Summary</t>
  </si>
  <si>
    <t>Total Approved/Completed Expenses</t>
  </si>
  <si>
    <t>Total Completed Revenue</t>
  </si>
  <si>
    <t>Net Result (Revenue - Expense)</t>
  </si>
  <si>
    <t>Expense by Category</t>
  </si>
  <si>
    <t>SUM of expense</t>
  </si>
  <si>
    <t>Grand Total</t>
  </si>
  <si>
    <t>Revenue by Client</t>
  </si>
  <si>
    <t>SUM of revenue</t>
  </si>
  <si>
    <t>Financial Dashboard</t>
  </si>
  <si>
    <t>Total Approved Expenses</t>
  </si>
  <si>
    <t>Net Result</t>
  </si>
  <si>
    <t>INVOICES TO REVIEW</t>
  </si>
  <si>
    <t xml:space="preserve"> </t>
  </si>
  <si>
    <t xml:space="preserve">date </t>
  </si>
  <si>
    <t xml:space="preserve">category </t>
  </si>
  <si>
    <t xml:space="preserve">vendor </t>
  </si>
  <si>
    <t xml:space="preserve">department </t>
  </si>
  <si>
    <t xml:space="preserve">expense </t>
  </si>
  <si>
    <t xml:space="preserve">revenue </t>
  </si>
  <si>
    <t xml:space="preserve">status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</si>
</sst>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Roboto"/>
    </font>
    <font>
      <b/>
      <color theme="1"/>
      <name val="Roboto"/>
    </font>
    <font>
      <color theme="1"/>
      <name val="Roboto"/>
    </font>
    <font>
      <b/>
      <sz val="32.0"/>
      <color rgb="FF073763"/>
      <name val="Roboto"/>
    </font>
    <font>
      <b/>
      <sz val="36.0"/>
      <color rgb="FF073763"/>
      <name val="Roboto"/>
    </font>
    <font>
      <b/>
      <sz val="16.0"/>
      <color rgb="FF073763"/>
      <name val="Roboto"/>
    </font>
    <font>
      <b/>
      <sz val="16.0"/>
      <color theme="1"/>
      <name val="Roboto Mono"/>
    </font>
    <font>
      <sz val="36.0"/>
      <color rgb="FFFFFFFF"/>
      <name val="Robo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1C4587"/>
        <bgColor rgb="FF1C4587"/>
      </patternFill>
    </fill>
  </fills>
  <borders count="10">
    <border/>
    <border>
      <right style="dotted">
        <color rgb="FFCCCCCC"/>
      </right>
      <bottom style="dotted">
        <color rgb="FFCCCCCC"/>
      </bottom>
    </border>
    <border>
      <left style="dotted">
        <color rgb="FFCCCCCC"/>
      </left>
      <right style="dotted">
        <color rgb="FFCCCCCC"/>
      </right>
      <bottom style="dotted">
        <color rgb="FFCCCCCC"/>
      </bottom>
    </border>
    <border>
      <left style="dotted">
        <color rgb="FFCCCCCC"/>
      </left>
      <bottom style="dotted">
        <color rgb="FFCCCCCC"/>
      </bottom>
    </border>
    <border>
      <right style="dotted">
        <color rgb="FFCCCCCC"/>
      </right>
      <top style="dotted">
        <color rgb="FFCCCCCC"/>
      </top>
      <bottom style="dotted">
        <color rgb="FFCCCCCC"/>
      </bottom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  <border>
      <left style="dotted">
        <color rgb="FFCCCCCC"/>
      </left>
      <top style="dotted">
        <color rgb="FFCCCCCC"/>
      </top>
      <bottom style="dotted">
        <color rgb="FFCCCCCC"/>
      </bottom>
    </border>
    <border>
      <right style="dotted">
        <color rgb="FFCCCCCC"/>
      </right>
      <top style="dotted">
        <color rgb="FFCCCCCC"/>
      </top>
    </border>
    <border>
      <left style="dotted">
        <color rgb="FFCCCCCC"/>
      </left>
      <right style="dotted">
        <color rgb="FFCCCCCC"/>
      </right>
      <top style="dotted">
        <color rgb="FFCCCCCC"/>
      </top>
    </border>
    <border>
      <left style="dotted">
        <color rgb="FFCCCCCC"/>
      </left>
      <top style="dotted">
        <color rgb="FFCCCCCC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2" fontId="5" numFmtId="0" xfId="0" applyAlignment="1" applyFill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0" fontId="8" numFmtId="165" xfId="0" applyAlignment="1" applyFont="1" applyNumberFormat="1">
      <alignment horizontal="center" vertical="center"/>
    </xf>
    <xf borderId="0" fillId="4" fontId="9" numFmtId="0" xfId="0" applyAlignment="1" applyFill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Font="1"/>
    <xf borderId="1" fillId="0" fontId="4" numFmtId="0" xfId="0" applyBorder="1" applyFont="1"/>
    <xf borderId="2" fillId="0" fontId="4" numFmtId="164" xfId="0" applyBorder="1" applyFont="1" applyNumberFormat="1"/>
    <xf borderId="2" fillId="0" fontId="4" numFmtId="0" xfId="0" applyBorder="1" applyFont="1"/>
    <xf borderId="2" fillId="0" fontId="4" numFmtId="165" xfId="0" applyBorder="1" applyFont="1" applyNumberFormat="1"/>
    <xf borderId="3" fillId="0" fontId="3" numFmtId="0" xfId="0" applyBorder="1" applyFont="1"/>
    <xf borderId="4" fillId="0" fontId="4" numFmtId="0" xfId="0" applyBorder="1" applyFont="1"/>
    <xf borderId="5" fillId="0" fontId="4" numFmtId="164" xfId="0" applyBorder="1" applyFont="1" applyNumberFormat="1"/>
    <xf borderId="5" fillId="0" fontId="4" numFmtId="0" xfId="0" applyBorder="1" applyFont="1"/>
    <xf borderId="5" fillId="0" fontId="4" numFmtId="165" xfId="0" applyBorder="1" applyFont="1" applyNumberFormat="1"/>
    <xf borderId="6" fillId="0" fontId="4" numFmtId="0" xfId="0" applyBorder="1" applyFont="1"/>
    <xf borderId="7" fillId="0" fontId="4" numFmtId="0" xfId="0" applyBorder="1" applyFont="1"/>
    <xf borderId="8" fillId="0" fontId="4" numFmtId="164" xfId="0" applyBorder="1" applyFont="1" applyNumberFormat="1"/>
    <xf borderId="8" fillId="0" fontId="4" numFmtId="0" xfId="0" applyBorder="1" applyFont="1"/>
    <xf borderId="8" fillId="0" fontId="4" numFmtId="165" xfId="0" applyBorder="1" applyFont="1" applyNumberFormat="1"/>
    <xf borderId="9" fillId="0" fontId="4" numFmtId="0" xfId="0" applyBorder="1" applyFont="1"/>
  </cellXfs>
  <cellStyles count="1">
    <cellStyle xfId="0" name="Normal" builtinId="0"/>
  </cellStyles>
  <dxfs count="1"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Roboto"/>
              </a:defRPr>
            </a:pPr>
            <a:r>
              <a:rPr b="1" i="0">
                <a:solidFill>
                  <a:srgbClr val="757575"/>
                </a:solidFill>
                <a:latin typeface="Roboto"/>
              </a:rPr>
              <a:t>Expense by Category</a:t>
            </a:r>
          </a:p>
        </c:rich>
      </c:tx>
      <c:layout>
        <c:manualLayout>
          <c:xMode val="edge"/>
          <c:yMode val="edge"/>
          <c:x val="0.0331918505942275"/>
          <c:y val="0.0528490028490028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Summary!$B$7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Summary!$A$8:$A$18</c:f>
            </c:strRef>
          </c:cat>
          <c:val>
            <c:numRef>
              <c:f>Summary!$B$8:$B$18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666666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Revenue by Client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Summary!$B$21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Summary!$A$22:$A$31</c:f>
            </c:strRef>
          </c:cat>
          <c:val>
            <c:numRef>
              <c:f>Summary!$B$22:$B$31</c:f>
              <c:numCache/>
            </c:numRef>
          </c:val>
        </c:ser>
        <c:axId val="786939258"/>
        <c:axId val="321417754"/>
      </c:barChart>
      <c:catAx>
        <c:axId val="7869392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666666"/>
                </a:solidFill>
                <a:latin typeface="Roboto"/>
              </a:defRPr>
            </a:pPr>
          </a:p>
        </c:txPr>
        <c:crossAx val="321417754"/>
      </c:catAx>
      <c:valAx>
        <c:axId val="3214177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999999"/>
                </a:solidFill>
                <a:latin typeface="Roboto"/>
              </a:defRPr>
            </a:pPr>
          </a:p>
        </c:txPr>
        <c:crossAx val="786939258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CCCCCC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28575</xdr:rowOff>
    </xdr:from>
    <xdr:ext cx="5829300" cy="3467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361950</xdr:colOff>
      <xdr:row>7</xdr:row>
      <xdr:rowOff>28575</xdr:rowOff>
    </xdr:from>
    <xdr:ext cx="6248400" cy="3467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Raw_Data"/>
  </cacheSource>
  <cacheFields>
    <cacheField name="invoice_id" numFmtId="0">
      <sharedItems containsString="0" containsBlank="1" containsNumber="1" containsInteger="1"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m/>
      </sharedItems>
    </cacheField>
    <cacheField name="date" numFmtId="164">
      <sharedItems containsDate="1" containsString="0" containsBlank="1">
        <d v="2024-01-15T00:00:00Z"/>
        <d v="2024-03-28T00:00:00Z"/>
        <d v="2024-03-04T00:00:00Z"/>
        <d v="2024-02-28T00:00:00Z"/>
        <d v="2024-03-29T00:00:00Z"/>
        <d v="2024-03-11T00:00:00Z"/>
        <d v="2024-01-02T00:00:00Z"/>
        <d v="2024-02-03T00:00:00Z"/>
        <d v="2024-03-02T00:00:00Z"/>
        <d v="2024-02-10T00:00:00Z"/>
        <d v="2024-01-08T00:00:00Z"/>
        <d v="2024-02-13T00:00:00Z"/>
        <d v="2024-03-30T00:00:00Z"/>
        <d v="2024-03-17T00:00:00Z"/>
        <d v="2024-01-23T00:00:00Z"/>
        <d v="2024-03-26T00:00:00Z"/>
        <d v="2024-01-01T00:00:00Z"/>
        <d v="2024-01-09T00:00:00Z"/>
        <d v="2024-02-25T00:00:00Z"/>
        <d v="2024-02-07T00:00:00Z"/>
        <d v="2024-01-19T00:00:00Z"/>
        <d v="2024-01-11T00:00:00Z"/>
        <d v="2024-02-29T00:00:00Z"/>
        <d v="2024-03-12T00:00:00Z"/>
        <d v="2024-01-18T00:00:00Z"/>
        <d v="2024-03-08T00:00:00Z"/>
        <d v="2024-01-17T00:00:00Z"/>
        <d v="2024-02-20T00:00:00Z"/>
        <d v="2024-03-09T00:00:00Z"/>
        <d v="2024-01-30T00:00:00Z"/>
        <d v="2024-02-15T00:00:00Z"/>
        <d v="2024-03-07T00:00:00Z"/>
        <d v="2024-02-01T00:00:00Z"/>
        <d v="2024-02-02T00:00:00Z"/>
        <d v="2024-01-07T00:00:00Z"/>
        <d v="2024-03-06T00:00:00Z"/>
        <d v="2024-01-05T00:00:00Z"/>
        <d v="2024-01-16T00:00:00Z"/>
        <d v="2024-02-27T00:00:00Z"/>
        <d v="2024-01-26T00:00:00Z"/>
        <d v="2024-01-24T00:00:00Z"/>
        <d v="2024-01-12T00:00:00Z"/>
        <d v="2024-02-04T00:00:00Z"/>
        <d v="2024-02-05T00:00:00Z"/>
        <d v="2024-03-22T00:00:00Z"/>
        <d v="2024-02-22T00:00:00Z"/>
        <d v="2024-03-15T00:00:00Z"/>
        <d v="2024-02-09T00:00:00Z"/>
        <d v="2024-01-04T00:00:00Z"/>
        <d v="2024-01-25T00:00:00Z"/>
        <d v="2024-02-23T00:00:00Z"/>
        <d v="2024-01-28T00:00:00Z"/>
        <d v="2024-03-24T00:00:00Z"/>
        <d v="2024-03-05T00:00:00Z"/>
        <d v="2024-02-26T00:00:00Z"/>
        <d v="2024-03-03T00:00:00Z"/>
        <d v="2024-03-21T00:00:00Z"/>
        <d v="2024-03-10T00:00:00Z"/>
        <d v="2024-03-13T00:00:00Z"/>
        <d v="2024-03-23T00:00:00Z"/>
        <d v="2024-01-31T00:00:00Z"/>
        <d v="2024-03-19T00:00:00Z"/>
        <d v="2024-02-16T00:00:00Z"/>
        <d v="2024-01-03T00:00:00Z"/>
        <d v="2024-02-18T00:00:00Z"/>
        <d v="2024-01-27T00:00:00Z"/>
        <d v="2024-02-12T00:00:00Z"/>
        <d v="2024-01-21T00:00:00Z"/>
        <d v="2024-03-31T00:00:00Z"/>
        <d v="2024-01-29T00:00:00Z"/>
        <d v="2024-01-13T00:00:00Z"/>
        <d v="2024-03-27T00:00:00Z"/>
        <d v="2024-02-06T00:00:00Z"/>
        <d v="2024-02-14T00:00:00Z"/>
        <d v="2024-02-24T00:00:00Z"/>
        <m/>
      </sharedItems>
    </cacheField>
    <cacheField name="category" numFmtId="0">
      <sharedItems containsBlank="1">
        <s v="Travel"/>
        <s v="Office Supplies"/>
        <s v="Hardware"/>
        <s v="Payment Processing"/>
        <s v="Marketing Tools"/>
        <s v="Software Licenses"/>
        <s v="Subscriptions"/>
        <s v="Consulting"/>
        <s v="Advertising"/>
        <s v="Cloud Services"/>
        <s v="Client Revenue"/>
        <m/>
      </sharedItems>
    </cacheField>
    <cacheField name="vendor" numFmtId="0">
      <sharedItems containsBlank="1">
        <s v="FlyAway"/>
        <s v="EuroTravel"/>
        <s v="Staples"/>
        <s v="Dell"/>
        <s v="PayPal"/>
        <s v="OfficeMart"/>
        <s v="HubSpot"/>
        <s v="JetBrains"/>
        <s v="HP"/>
        <s v="Adobe"/>
        <s v="Slack"/>
        <s v="Stripe"/>
        <s v="BizAdvisors"/>
        <s v="Facebook Ads"/>
        <s v="AWS"/>
        <s v="Google Cloud"/>
        <s v="Atlassian"/>
        <s v="Notion"/>
        <s v="Azure"/>
        <s v="MailChimp"/>
        <s v="OfficePro"/>
        <s v="Google Ads"/>
        <s v="Client C"/>
        <s v="ConsultX"/>
        <s v="Client D"/>
        <s v="Client A"/>
        <s v="Client B"/>
        <m/>
      </sharedItems>
    </cacheField>
    <cacheField name="department" numFmtId="0">
      <sharedItems containsBlank="1">
        <s v="Sales"/>
        <s v="Finance"/>
        <s v="Operations"/>
        <s v="Marketing"/>
        <s v="IT"/>
        <m/>
      </sharedItems>
    </cacheField>
    <cacheField name="expense" numFmtId="0">
      <sharedItems containsString="0" containsBlank="1" containsNumber="1" containsInteger="1">
        <n v="3972.0"/>
        <n v="3119.0"/>
        <n v="1384.0"/>
        <n v="2247.0"/>
        <n v="3756.0"/>
        <n v="441.0"/>
        <n v="975.0"/>
        <n v="2813.0"/>
        <n v="1195.0"/>
        <n v="537.0"/>
        <n v="4084.0"/>
        <n v="591.0"/>
        <n v="400.0"/>
        <n v="1770.0"/>
        <n v="1070.0"/>
        <n v="1063.0"/>
        <n v="1878.0"/>
        <n v="2929.0"/>
        <n v="2181.0"/>
        <n v="4229.0"/>
        <n v="863.0"/>
        <n v="1491.0"/>
        <n v="2360.0"/>
        <n v="2977.0"/>
        <n v="3131.0"/>
        <n v="1994.0"/>
        <n v="1934.0"/>
        <n v="4261.0"/>
        <n v="3923.0"/>
        <n v="1354.0"/>
        <n v="4399.0"/>
        <n v="3977.0"/>
        <n v="1500.0"/>
        <n v="2935.0"/>
        <n v="3554.0"/>
        <n v="1015.0"/>
        <n v="3644.0"/>
        <n v="3370.0"/>
        <n v="2016.0"/>
        <n v="1886.0"/>
        <n v="3006.0"/>
        <n v="4315.0"/>
        <n v="2182.0"/>
        <n v="4054.0"/>
        <n v="1076.0"/>
        <n v="835.0"/>
        <n v="940.0"/>
        <n v="712.0"/>
        <n v="4270.0"/>
        <n v="2944.0"/>
        <n v="2465.0"/>
        <n v="3049.0"/>
        <n v="3287.0"/>
        <n v="3946.0"/>
        <n v="4113.0"/>
        <n v="4385.0"/>
        <n v="1716.0"/>
        <n v="2704.0"/>
        <n v="2343.0"/>
        <n v="4152.0"/>
        <n v="595.0"/>
        <n v="3138.0"/>
        <n v="3182.0"/>
        <n v="1153.0"/>
        <n v="3193.0"/>
        <n v="2056.0"/>
        <n v="3686.0"/>
        <n v="3722.0"/>
        <n v="1584.0"/>
        <n v="333.0"/>
        <n v="1450.0"/>
        <n v="2903.0"/>
        <n v="1345.0"/>
        <n v="4336.0"/>
        <n v="1124.0"/>
        <n v="209.0"/>
        <n v="4358.0"/>
        <n v="2200.0"/>
        <n v="4378.0"/>
        <n v="2023.0"/>
        <n v="970.0"/>
        <n v="3014.0"/>
        <n v="1529.0"/>
        <n v="0.0"/>
        <n v="337.0"/>
        <n v="4018.0"/>
        <n v="3147.0"/>
        <n v="3322.0"/>
        <n v="723.0"/>
        <n v="2461.0"/>
        <n v="1476.0"/>
        <n v="3487.0"/>
        <n v="2275.0"/>
        <n v="3796.0"/>
        <n v="4406.0"/>
        <n v="2860.0"/>
        <n v="1512.0"/>
        <n v="2597.0"/>
        <n v="2795.0"/>
        <n v="1341.0"/>
        <n v="1773.0"/>
        <n v="2239.0"/>
        <n v="2576.0"/>
        <n v="4227.0"/>
        <n v="1452.0"/>
        <n v="2821.0"/>
        <n v="2390.0"/>
        <n v="397.0"/>
        <n v="2235.0"/>
        <n v="2443.0"/>
        <n v="2571.0"/>
        <n v="2316.0"/>
        <n v="3135.0"/>
        <n v="3733.0"/>
        <n v="1405.0"/>
        <n v="3702.0"/>
        <n v="774.0"/>
        <n v="3800.0"/>
        <n v="2913.0"/>
        <n v="541.0"/>
        <n v="2682.0"/>
        <n v="2265.0"/>
        <n v="3535.0"/>
        <n v="254.0"/>
        <n v="2690.0"/>
        <n v="3875.0"/>
        <n v="364.0"/>
        <n v="2398.0"/>
        <n v="2120.0"/>
        <n v="1755.0"/>
        <n v="3777.0"/>
        <n v="2968.0"/>
        <n v="1501.0"/>
        <n v="2375.0"/>
        <n v="1822.0"/>
        <n v="3228.0"/>
        <n v="3563.0"/>
        <n v="1985.0"/>
        <n v="681.0"/>
        <n v="1138.0"/>
        <n v="4397.0"/>
        <m/>
      </sharedItems>
    </cacheField>
    <cacheField name="revenue" numFmtId="0">
      <sharedItems containsString="0" containsBlank="1" containsNumber="1" containsInteger="1">
        <n v="0.0"/>
        <n v="2854.0"/>
        <n v="6931.0"/>
        <n v="3930.0"/>
        <n v="3139.0"/>
        <n v="6171.0"/>
        <n v="6729.0"/>
        <n v="7261.0"/>
        <n v="2302.0"/>
        <n v="3918.0"/>
        <n v="2005.0"/>
        <n v="5551.0"/>
        <n v="6429.0"/>
        <n v="5560.0"/>
        <n v="9371.0"/>
        <n v="4990.0"/>
        <n v="7263.0"/>
        <n v="11378.0"/>
        <n v="3329.0"/>
        <m/>
      </sharedItems>
    </cacheField>
    <cacheField name="status" numFmtId="0">
      <sharedItems containsBlank="1">
        <s v="Pending"/>
        <s v="Approved"/>
        <s v="Rejected"/>
        <s v="Completed"/>
        <m/>
      </sharedItems>
    </cacheField>
    <cacheField name="notes" numFmtId="0">
      <sharedItems containsBlank="1">
        <m/>
        <s v="Check discrepancy"/>
        <s v="Rejected invoic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23:B34" firstHeaderRow="0" firstDataRow="1" firstDataCol="0" rowPageCount="1" colPageCount="1"/>
  <pivotFields>
    <pivotField name="invoi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venue by Clien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us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  <pivotField name="notes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pageFields>
    <pageField fld="7"/>
  </pageFields>
  <dataFields>
    <dataField name="SUM of revenu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5"/>
    <col customWidth="1" min="3" max="3" width="16.25"/>
    <col customWidth="1" min="4" max="4" width="11.63"/>
    <col customWidth="1" min="5" max="5" width="9.38"/>
    <col customWidth="1" min="6" max="6" width="7.25"/>
    <col customWidth="1" min="7" max="7" width="7.0"/>
    <col customWidth="1" min="8" max="8" width="9.0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1000.0</v>
      </c>
      <c r="B2" s="2">
        <v>45306.0</v>
      </c>
      <c r="C2" s="1" t="s">
        <v>9</v>
      </c>
      <c r="D2" s="1" t="s">
        <v>10</v>
      </c>
      <c r="E2" s="1" t="s">
        <v>11</v>
      </c>
      <c r="F2" s="1">
        <v>3972.0</v>
      </c>
      <c r="G2" s="1">
        <v>0.0</v>
      </c>
      <c r="H2" s="1" t="s">
        <v>12</v>
      </c>
    </row>
    <row r="3">
      <c r="A3" s="1">
        <v>1001.0</v>
      </c>
      <c r="B3" s="2">
        <v>45379.0</v>
      </c>
      <c r="C3" s="1" t="s">
        <v>9</v>
      </c>
      <c r="D3" s="1" t="s">
        <v>13</v>
      </c>
      <c r="E3" s="1" t="s">
        <v>14</v>
      </c>
      <c r="F3" s="1">
        <v>3119.0</v>
      </c>
      <c r="G3" s="1">
        <v>0.0</v>
      </c>
      <c r="H3" s="1" t="s">
        <v>15</v>
      </c>
      <c r="I3" s="1" t="s">
        <v>16</v>
      </c>
    </row>
    <row r="4">
      <c r="A4" s="1">
        <v>1002.0</v>
      </c>
      <c r="B4" s="2">
        <v>45355.0</v>
      </c>
      <c r="C4" s="1" t="s">
        <v>17</v>
      </c>
      <c r="D4" s="1" t="s">
        <v>18</v>
      </c>
      <c r="E4" s="1" t="s">
        <v>19</v>
      </c>
      <c r="F4" s="1">
        <v>1384.0</v>
      </c>
      <c r="G4" s="1">
        <v>0.0</v>
      </c>
      <c r="H4" s="1" t="s">
        <v>20</v>
      </c>
      <c r="I4" s="1" t="s">
        <v>21</v>
      </c>
    </row>
    <row r="5">
      <c r="A5" s="1">
        <v>1003.0</v>
      </c>
      <c r="B5" s="2">
        <v>45350.0</v>
      </c>
      <c r="C5" s="1" t="s">
        <v>22</v>
      </c>
      <c r="D5" s="1" t="s">
        <v>23</v>
      </c>
      <c r="E5" s="1" t="s">
        <v>14</v>
      </c>
      <c r="F5" s="1">
        <v>2247.0</v>
      </c>
      <c r="G5" s="1">
        <v>0.0</v>
      </c>
      <c r="H5" s="1" t="s">
        <v>15</v>
      </c>
    </row>
    <row r="6">
      <c r="A6" s="1">
        <v>1004.0</v>
      </c>
      <c r="B6" s="2">
        <v>45355.0</v>
      </c>
      <c r="C6" s="1" t="s">
        <v>24</v>
      </c>
      <c r="D6" s="1" t="s">
        <v>25</v>
      </c>
      <c r="E6" s="1" t="s">
        <v>26</v>
      </c>
      <c r="F6" s="1">
        <v>3756.0</v>
      </c>
      <c r="G6" s="1">
        <v>0.0</v>
      </c>
      <c r="H6" s="1" t="s">
        <v>15</v>
      </c>
    </row>
    <row r="7">
      <c r="A7" s="1">
        <v>1005.0</v>
      </c>
      <c r="B7" s="2">
        <v>45380.0</v>
      </c>
      <c r="C7" s="1" t="s">
        <v>9</v>
      </c>
      <c r="D7" s="1" t="s">
        <v>10</v>
      </c>
      <c r="E7" s="1" t="s">
        <v>26</v>
      </c>
      <c r="F7" s="1">
        <v>441.0</v>
      </c>
      <c r="G7" s="1">
        <v>0.0</v>
      </c>
      <c r="H7" s="1" t="s">
        <v>20</v>
      </c>
      <c r="I7" s="1" t="s">
        <v>21</v>
      </c>
    </row>
    <row r="8">
      <c r="A8" s="1">
        <v>1006.0</v>
      </c>
      <c r="B8" s="2">
        <v>45362.0</v>
      </c>
      <c r="C8" s="1" t="s">
        <v>17</v>
      </c>
      <c r="D8" s="1" t="s">
        <v>27</v>
      </c>
      <c r="E8" s="1" t="s">
        <v>26</v>
      </c>
      <c r="F8" s="1">
        <v>975.0</v>
      </c>
      <c r="G8" s="1">
        <v>0.0</v>
      </c>
      <c r="H8" s="1" t="s">
        <v>12</v>
      </c>
    </row>
    <row r="9">
      <c r="A9" s="1">
        <v>1007.0</v>
      </c>
      <c r="B9" s="2">
        <v>45293.0</v>
      </c>
      <c r="C9" s="1" t="s">
        <v>28</v>
      </c>
      <c r="D9" s="1" t="s">
        <v>29</v>
      </c>
      <c r="E9" s="1" t="s">
        <v>26</v>
      </c>
      <c r="F9" s="1">
        <v>2813.0</v>
      </c>
      <c r="G9" s="1">
        <v>0.0</v>
      </c>
      <c r="H9" s="1" t="s">
        <v>15</v>
      </c>
    </row>
    <row r="10">
      <c r="A10" s="1">
        <v>1008.0</v>
      </c>
      <c r="B10" s="2">
        <v>45325.0</v>
      </c>
      <c r="C10" s="1" t="s">
        <v>17</v>
      </c>
      <c r="D10" s="1" t="s">
        <v>18</v>
      </c>
      <c r="E10" s="1" t="s">
        <v>26</v>
      </c>
      <c r="F10" s="1">
        <v>1195.0</v>
      </c>
      <c r="G10" s="1">
        <v>0.0</v>
      </c>
      <c r="H10" s="1" t="s">
        <v>15</v>
      </c>
    </row>
    <row r="11">
      <c r="A11" s="1">
        <v>1009.0</v>
      </c>
      <c r="B11" s="2">
        <v>45353.0</v>
      </c>
      <c r="C11" s="1" t="s">
        <v>30</v>
      </c>
      <c r="D11" s="1" t="s">
        <v>31</v>
      </c>
      <c r="E11" s="1" t="s">
        <v>26</v>
      </c>
      <c r="F11" s="1">
        <v>537.0</v>
      </c>
      <c r="G11" s="1">
        <v>0.0</v>
      </c>
      <c r="H11" s="1" t="s">
        <v>15</v>
      </c>
    </row>
    <row r="12">
      <c r="A12" s="1">
        <v>1010.0</v>
      </c>
      <c r="B12" s="2">
        <v>45332.0</v>
      </c>
      <c r="C12" s="1" t="s">
        <v>22</v>
      </c>
      <c r="D12" s="1" t="s">
        <v>32</v>
      </c>
      <c r="E12" s="1" t="s">
        <v>26</v>
      </c>
      <c r="F12" s="1">
        <v>4084.0</v>
      </c>
      <c r="G12" s="1">
        <v>0.0</v>
      </c>
      <c r="H12" s="1" t="s">
        <v>15</v>
      </c>
    </row>
    <row r="13">
      <c r="A13" s="1">
        <v>1011.0</v>
      </c>
      <c r="B13" s="2">
        <v>45299.0</v>
      </c>
      <c r="C13" s="1" t="s">
        <v>30</v>
      </c>
      <c r="D13" s="1" t="s">
        <v>33</v>
      </c>
      <c r="E13" s="1" t="s">
        <v>26</v>
      </c>
      <c r="F13" s="1">
        <v>591.0</v>
      </c>
      <c r="G13" s="1">
        <v>0.0</v>
      </c>
      <c r="H13" s="1" t="s">
        <v>15</v>
      </c>
    </row>
    <row r="14">
      <c r="A14" s="1">
        <v>1012.0</v>
      </c>
      <c r="B14" s="2">
        <v>45332.0</v>
      </c>
      <c r="C14" s="1" t="s">
        <v>34</v>
      </c>
      <c r="D14" s="1" t="s">
        <v>35</v>
      </c>
      <c r="E14" s="1" t="s">
        <v>19</v>
      </c>
      <c r="F14" s="1">
        <v>400.0</v>
      </c>
      <c r="G14" s="1">
        <v>0.0</v>
      </c>
      <c r="H14" s="1" t="s">
        <v>36</v>
      </c>
    </row>
    <row r="15">
      <c r="A15" s="1">
        <v>1013.0</v>
      </c>
      <c r="B15" s="2">
        <v>45335.0</v>
      </c>
      <c r="C15" s="1" t="s">
        <v>9</v>
      </c>
      <c r="D15" s="1" t="s">
        <v>13</v>
      </c>
      <c r="E15" s="1" t="s">
        <v>11</v>
      </c>
      <c r="F15" s="1">
        <v>1770.0</v>
      </c>
      <c r="G15" s="1">
        <v>0.0</v>
      </c>
      <c r="H15" s="1" t="s">
        <v>12</v>
      </c>
    </row>
    <row r="16">
      <c r="A16" s="1">
        <v>1014.0</v>
      </c>
      <c r="B16" s="2">
        <v>45381.0</v>
      </c>
      <c r="C16" s="1" t="s">
        <v>24</v>
      </c>
      <c r="D16" s="1" t="s">
        <v>37</v>
      </c>
      <c r="E16" s="1" t="s">
        <v>11</v>
      </c>
      <c r="F16" s="1">
        <v>1070.0</v>
      </c>
      <c r="G16" s="1">
        <v>0.0</v>
      </c>
      <c r="H16" s="1" t="s">
        <v>15</v>
      </c>
    </row>
    <row r="17">
      <c r="A17" s="1">
        <v>1015.0</v>
      </c>
      <c r="B17" s="2">
        <v>45368.0</v>
      </c>
      <c r="C17" s="1" t="s">
        <v>38</v>
      </c>
      <c r="D17" s="1" t="s">
        <v>39</v>
      </c>
      <c r="E17" s="1" t="s">
        <v>26</v>
      </c>
      <c r="F17" s="1">
        <v>1063.0</v>
      </c>
      <c r="G17" s="1">
        <v>0.0</v>
      </c>
      <c r="H17" s="1" t="s">
        <v>15</v>
      </c>
    </row>
    <row r="18">
      <c r="A18" s="1">
        <v>1016.0</v>
      </c>
      <c r="B18" s="2">
        <v>45314.0</v>
      </c>
      <c r="C18" s="1" t="s">
        <v>28</v>
      </c>
      <c r="D18" s="1" t="s">
        <v>29</v>
      </c>
      <c r="E18" s="1" t="s">
        <v>11</v>
      </c>
      <c r="F18" s="1">
        <v>1878.0</v>
      </c>
      <c r="G18" s="1">
        <v>0.0</v>
      </c>
      <c r="H18" s="1" t="s">
        <v>12</v>
      </c>
    </row>
    <row r="19">
      <c r="A19" s="1">
        <v>1017.0</v>
      </c>
      <c r="B19" s="2">
        <v>45377.0</v>
      </c>
      <c r="C19" s="1" t="s">
        <v>9</v>
      </c>
      <c r="D19" s="1" t="s">
        <v>13</v>
      </c>
      <c r="E19" s="1" t="s">
        <v>14</v>
      </c>
      <c r="F19" s="1">
        <v>2929.0</v>
      </c>
      <c r="G19" s="1">
        <v>0.0</v>
      </c>
      <c r="H19" s="1" t="s">
        <v>36</v>
      </c>
    </row>
    <row r="20">
      <c r="A20" s="1">
        <v>1018.0</v>
      </c>
      <c r="B20" s="2">
        <v>45335.0</v>
      </c>
      <c r="C20" s="1" t="s">
        <v>40</v>
      </c>
      <c r="D20" s="1" t="s">
        <v>41</v>
      </c>
      <c r="E20" s="1" t="s">
        <v>26</v>
      </c>
      <c r="F20" s="1">
        <v>2181.0</v>
      </c>
      <c r="G20" s="1">
        <v>0.0</v>
      </c>
      <c r="H20" s="1" t="s">
        <v>15</v>
      </c>
    </row>
    <row r="21">
      <c r="A21" s="1">
        <v>1019.0</v>
      </c>
      <c r="B21" s="2">
        <v>45292.0</v>
      </c>
      <c r="C21" s="1" t="s">
        <v>22</v>
      </c>
      <c r="D21" s="1" t="s">
        <v>23</v>
      </c>
      <c r="E21" s="1" t="s">
        <v>42</v>
      </c>
      <c r="F21" s="1">
        <v>4229.0</v>
      </c>
      <c r="G21" s="1">
        <v>0.0</v>
      </c>
      <c r="H21" s="1" t="s">
        <v>15</v>
      </c>
    </row>
    <row r="22">
      <c r="A22" s="1">
        <v>1020.0</v>
      </c>
      <c r="B22" s="2">
        <v>45300.0</v>
      </c>
      <c r="C22" s="1" t="s">
        <v>24</v>
      </c>
      <c r="D22" s="1" t="s">
        <v>37</v>
      </c>
      <c r="E22" s="1" t="s">
        <v>14</v>
      </c>
      <c r="F22" s="1">
        <v>863.0</v>
      </c>
      <c r="G22" s="1">
        <v>0.0</v>
      </c>
      <c r="H22" s="1" t="s">
        <v>15</v>
      </c>
    </row>
    <row r="23">
      <c r="A23" s="1">
        <v>1021.0</v>
      </c>
      <c r="B23" s="2">
        <v>45353.0</v>
      </c>
      <c r="C23" s="1" t="s">
        <v>30</v>
      </c>
      <c r="D23" s="1" t="s">
        <v>33</v>
      </c>
      <c r="E23" s="1" t="s">
        <v>26</v>
      </c>
      <c r="F23" s="1">
        <v>1491.0</v>
      </c>
      <c r="G23" s="1">
        <v>0.0</v>
      </c>
      <c r="H23" s="1" t="s">
        <v>20</v>
      </c>
      <c r="I23" s="1" t="s">
        <v>21</v>
      </c>
    </row>
    <row r="24">
      <c r="A24" s="1">
        <v>1022.0</v>
      </c>
      <c r="B24" s="2">
        <v>45347.0</v>
      </c>
      <c r="C24" s="1" t="s">
        <v>43</v>
      </c>
      <c r="D24" s="1" t="s">
        <v>44</v>
      </c>
      <c r="E24" s="1" t="s">
        <v>42</v>
      </c>
      <c r="F24" s="1">
        <v>2360.0</v>
      </c>
      <c r="G24" s="1">
        <v>2854.0</v>
      </c>
      <c r="H24" s="1" t="s">
        <v>15</v>
      </c>
    </row>
    <row r="25">
      <c r="A25" s="1">
        <v>1023.0</v>
      </c>
      <c r="B25" s="2">
        <v>45293.0</v>
      </c>
      <c r="C25" s="1" t="s">
        <v>43</v>
      </c>
      <c r="D25" s="1" t="s">
        <v>44</v>
      </c>
      <c r="E25" s="1" t="s">
        <v>14</v>
      </c>
      <c r="F25" s="1">
        <v>2977.0</v>
      </c>
      <c r="G25" s="1">
        <v>6931.0</v>
      </c>
      <c r="H25" s="1" t="s">
        <v>15</v>
      </c>
    </row>
    <row r="26">
      <c r="A26" s="1">
        <v>1024.0</v>
      </c>
      <c r="B26" s="2">
        <v>45329.0</v>
      </c>
      <c r="C26" s="1" t="s">
        <v>30</v>
      </c>
      <c r="D26" s="1" t="s">
        <v>33</v>
      </c>
      <c r="E26" s="1" t="s">
        <v>42</v>
      </c>
      <c r="F26" s="1">
        <v>3131.0</v>
      </c>
      <c r="G26" s="1">
        <v>3930.0</v>
      </c>
      <c r="H26" s="1" t="s">
        <v>15</v>
      </c>
    </row>
    <row r="27">
      <c r="A27" s="1">
        <v>1025.0</v>
      </c>
      <c r="B27" s="2">
        <v>45350.0</v>
      </c>
      <c r="C27" s="1" t="s">
        <v>43</v>
      </c>
      <c r="D27" s="1" t="s">
        <v>44</v>
      </c>
      <c r="E27" s="1" t="s">
        <v>26</v>
      </c>
      <c r="F27" s="1">
        <v>1994.0</v>
      </c>
      <c r="G27" s="1">
        <v>0.0</v>
      </c>
      <c r="H27" s="1" t="s">
        <v>15</v>
      </c>
    </row>
    <row r="28">
      <c r="A28" s="1">
        <v>1026.0</v>
      </c>
      <c r="B28" s="2">
        <v>45310.0</v>
      </c>
      <c r="C28" s="1" t="s">
        <v>24</v>
      </c>
      <c r="D28" s="1" t="s">
        <v>25</v>
      </c>
      <c r="E28" s="1" t="s">
        <v>14</v>
      </c>
      <c r="F28" s="1">
        <v>1934.0</v>
      </c>
      <c r="G28" s="1">
        <v>0.0</v>
      </c>
      <c r="H28" s="1" t="s">
        <v>15</v>
      </c>
    </row>
    <row r="29">
      <c r="A29" s="1">
        <v>1027.0</v>
      </c>
      <c r="B29" s="2">
        <v>45302.0</v>
      </c>
      <c r="C29" s="1" t="s">
        <v>9</v>
      </c>
      <c r="D29" s="1" t="s">
        <v>10</v>
      </c>
      <c r="E29" s="1" t="s">
        <v>42</v>
      </c>
      <c r="F29" s="1">
        <v>4261.0</v>
      </c>
      <c r="G29" s="1">
        <v>0.0</v>
      </c>
      <c r="H29" s="1" t="s">
        <v>15</v>
      </c>
    </row>
    <row r="30">
      <c r="A30" s="1">
        <v>1028.0</v>
      </c>
      <c r="B30" s="2">
        <v>45351.0</v>
      </c>
      <c r="C30" s="1" t="s">
        <v>38</v>
      </c>
      <c r="D30" s="1" t="s">
        <v>39</v>
      </c>
      <c r="E30" s="1" t="s">
        <v>42</v>
      </c>
      <c r="F30" s="1">
        <v>3923.0</v>
      </c>
      <c r="G30" s="1">
        <v>0.0</v>
      </c>
      <c r="H30" s="1" t="s">
        <v>15</v>
      </c>
    </row>
    <row r="31">
      <c r="A31" s="1">
        <v>1029.0</v>
      </c>
      <c r="B31" s="2">
        <v>45310.0</v>
      </c>
      <c r="C31" s="1" t="s">
        <v>9</v>
      </c>
      <c r="D31" s="1" t="s">
        <v>13</v>
      </c>
      <c r="E31" s="1" t="s">
        <v>42</v>
      </c>
      <c r="F31" s="1">
        <v>1354.0</v>
      </c>
      <c r="G31" s="1">
        <v>0.0</v>
      </c>
      <c r="H31" s="1" t="s">
        <v>12</v>
      </c>
    </row>
    <row r="32">
      <c r="A32" s="1">
        <v>1030.0</v>
      </c>
      <c r="B32" s="2">
        <v>45363.0</v>
      </c>
      <c r="C32" s="1" t="s">
        <v>43</v>
      </c>
      <c r="D32" s="1" t="s">
        <v>45</v>
      </c>
      <c r="E32" s="1" t="s">
        <v>42</v>
      </c>
      <c r="F32" s="1">
        <v>4399.0</v>
      </c>
      <c r="G32" s="1">
        <v>0.0</v>
      </c>
      <c r="H32" s="1" t="s">
        <v>12</v>
      </c>
      <c r="I32" s="1" t="s">
        <v>16</v>
      </c>
    </row>
    <row r="33">
      <c r="A33" s="1">
        <v>1031.0</v>
      </c>
      <c r="B33" s="2">
        <v>45309.0</v>
      </c>
      <c r="C33" s="1" t="s">
        <v>22</v>
      </c>
      <c r="D33" s="1" t="s">
        <v>23</v>
      </c>
      <c r="E33" s="1" t="s">
        <v>42</v>
      </c>
      <c r="F33" s="1">
        <v>3977.0</v>
      </c>
      <c r="G33" s="1">
        <v>0.0</v>
      </c>
      <c r="H33" s="1" t="s">
        <v>15</v>
      </c>
    </row>
    <row r="34">
      <c r="A34" s="1">
        <v>1032.0</v>
      </c>
      <c r="B34" s="2">
        <v>45359.0</v>
      </c>
      <c r="C34" s="1" t="s">
        <v>22</v>
      </c>
      <c r="D34" s="1" t="s">
        <v>32</v>
      </c>
      <c r="E34" s="1" t="s">
        <v>42</v>
      </c>
      <c r="F34" s="1">
        <v>1500.0</v>
      </c>
      <c r="G34" s="1">
        <v>0.0</v>
      </c>
      <c r="H34" s="1" t="s">
        <v>15</v>
      </c>
    </row>
    <row r="35">
      <c r="A35" s="1">
        <v>1033.0</v>
      </c>
      <c r="B35" s="2">
        <v>45308.0</v>
      </c>
      <c r="C35" s="1" t="s">
        <v>30</v>
      </c>
      <c r="D35" s="1" t="s">
        <v>33</v>
      </c>
      <c r="E35" s="1" t="s">
        <v>14</v>
      </c>
      <c r="F35" s="1">
        <v>2935.0</v>
      </c>
      <c r="G35" s="1">
        <v>0.0</v>
      </c>
      <c r="H35" s="1" t="s">
        <v>15</v>
      </c>
    </row>
    <row r="36">
      <c r="A36" s="1">
        <v>1034.0</v>
      </c>
      <c r="B36" s="2">
        <v>45342.0</v>
      </c>
      <c r="C36" s="1" t="s">
        <v>9</v>
      </c>
      <c r="D36" s="1" t="s">
        <v>10</v>
      </c>
      <c r="E36" s="1" t="s">
        <v>11</v>
      </c>
      <c r="F36" s="1">
        <v>3554.0</v>
      </c>
      <c r="G36" s="1">
        <v>0.0</v>
      </c>
      <c r="H36" s="1" t="s">
        <v>36</v>
      </c>
    </row>
    <row r="37">
      <c r="A37" s="1">
        <v>1035.0</v>
      </c>
      <c r="B37" s="2">
        <v>45360.0</v>
      </c>
      <c r="C37" s="1" t="s">
        <v>43</v>
      </c>
      <c r="D37" s="1" t="s">
        <v>45</v>
      </c>
      <c r="E37" s="1" t="s">
        <v>42</v>
      </c>
      <c r="F37" s="1">
        <v>1015.0</v>
      </c>
      <c r="G37" s="1">
        <v>0.0</v>
      </c>
      <c r="H37" s="1" t="s">
        <v>15</v>
      </c>
      <c r="I37" s="1" t="s">
        <v>16</v>
      </c>
    </row>
    <row r="38">
      <c r="A38" s="1">
        <v>1036.0</v>
      </c>
      <c r="B38" s="2">
        <v>45321.0</v>
      </c>
      <c r="C38" s="1" t="s">
        <v>43</v>
      </c>
      <c r="D38" s="1" t="s">
        <v>44</v>
      </c>
      <c r="E38" s="1" t="s">
        <v>26</v>
      </c>
      <c r="F38" s="1">
        <v>3644.0</v>
      </c>
      <c r="G38" s="1">
        <v>0.0</v>
      </c>
      <c r="H38" s="1" t="s">
        <v>20</v>
      </c>
      <c r="I38" s="1" t="s">
        <v>21</v>
      </c>
    </row>
    <row r="39">
      <c r="A39" s="1">
        <v>1037.0</v>
      </c>
      <c r="B39" s="2">
        <v>45337.0</v>
      </c>
      <c r="C39" s="1" t="s">
        <v>34</v>
      </c>
      <c r="D39" s="1" t="s">
        <v>46</v>
      </c>
      <c r="E39" s="1" t="s">
        <v>42</v>
      </c>
      <c r="F39" s="1">
        <v>3370.0</v>
      </c>
      <c r="G39" s="1">
        <v>3139.0</v>
      </c>
      <c r="H39" s="1" t="s">
        <v>20</v>
      </c>
      <c r="I39" s="1" t="s">
        <v>21</v>
      </c>
    </row>
    <row r="40">
      <c r="A40" s="1">
        <v>1038.0</v>
      </c>
      <c r="B40" s="2">
        <v>45358.0</v>
      </c>
      <c r="C40" s="1" t="s">
        <v>34</v>
      </c>
      <c r="D40" s="1" t="s">
        <v>47</v>
      </c>
      <c r="E40" s="1" t="s">
        <v>42</v>
      </c>
      <c r="F40" s="1">
        <v>2016.0</v>
      </c>
      <c r="G40" s="1">
        <v>0.0</v>
      </c>
      <c r="H40" s="1" t="s">
        <v>15</v>
      </c>
    </row>
    <row r="41">
      <c r="A41" s="1">
        <v>1039.0</v>
      </c>
      <c r="B41" s="2">
        <v>45323.0</v>
      </c>
      <c r="C41" s="1" t="s">
        <v>24</v>
      </c>
      <c r="D41" s="1" t="s">
        <v>25</v>
      </c>
      <c r="E41" s="1" t="s">
        <v>19</v>
      </c>
      <c r="F41" s="1">
        <v>1886.0</v>
      </c>
      <c r="G41" s="1">
        <v>0.0</v>
      </c>
      <c r="H41" s="1" t="s">
        <v>12</v>
      </c>
    </row>
    <row r="42">
      <c r="A42" s="1">
        <v>1040.0</v>
      </c>
      <c r="B42" s="2">
        <v>45324.0</v>
      </c>
      <c r="C42" s="1" t="s">
        <v>17</v>
      </c>
      <c r="D42" s="1" t="s">
        <v>18</v>
      </c>
      <c r="E42" s="1" t="s">
        <v>42</v>
      </c>
      <c r="F42" s="1">
        <v>3006.0</v>
      </c>
      <c r="G42" s="1">
        <v>0.0</v>
      </c>
      <c r="H42" s="1" t="s">
        <v>15</v>
      </c>
    </row>
    <row r="43">
      <c r="A43" s="1">
        <v>1041.0</v>
      </c>
      <c r="B43" s="2">
        <v>45298.0</v>
      </c>
      <c r="C43" s="1" t="s">
        <v>30</v>
      </c>
      <c r="D43" s="1" t="s">
        <v>33</v>
      </c>
      <c r="E43" s="1" t="s">
        <v>26</v>
      </c>
      <c r="F43" s="1">
        <v>4315.0</v>
      </c>
      <c r="G43" s="1">
        <v>0.0</v>
      </c>
      <c r="H43" s="1" t="s">
        <v>15</v>
      </c>
    </row>
    <row r="44">
      <c r="A44" s="1">
        <v>1042.0</v>
      </c>
      <c r="B44" s="2">
        <v>45357.0</v>
      </c>
      <c r="C44" s="1" t="s">
        <v>24</v>
      </c>
      <c r="D44" s="1" t="s">
        <v>37</v>
      </c>
      <c r="E44" s="1" t="s">
        <v>26</v>
      </c>
      <c r="F44" s="1">
        <v>2182.0</v>
      </c>
      <c r="G44" s="1">
        <v>0.0</v>
      </c>
      <c r="H44" s="1" t="s">
        <v>15</v>
      </c>
    </row>
    <row r="45">
      <c r="A45" s="1">
        <v>1043.0</v>
      </c>
      <c r="B45" s="2">
        <v>45377.0</v>
      </c>
      <c r="C45" s="1" t="s">
        <v>40</v>
      </c>
      <c r="D45" s="1" t="s">
        <v>41</v>
      </c>
      <c r="E45" s="1" t="s">
        <v>19</v>
      </c>
      <c r="F45" s="1">
        <v>4054.0</v>
      </c>
      <c r="G45" s="1">
        <v>0.0</v>
      </c>
      <c r="H45" s="1" t="s">
        <v>15</v>
      </c>
    </row>
    <row r="46">
      <c r="A46" s="1">
        <v>1044.0</v>
      </c>
      <c r="B46" s="2">
        <v>45296.0</v>
      </c>
      <c r="C46" s="1" t="s">
        <v>43</v>
      </c>
      <c r="D46" s="1" t="s">
        <v>44</v>
      </c>
      <c r="E46" s="1" t="s">
        <v>26</v>
      </c>
      <c r="F46" s="1">
        <v>1076.0</v>
      </c>
      <c r="G46" s="1">
        <v>0.0</v>
      </c>
      <c r="H46" s="1" t="s">
        <v>15</v>
      </c>
    </row>
    <row r="47">
      <c r="A47" s="1">
        <v>1045.0</v>
      </c>
      <c r="B47" s="2">
        <v>45307.0</v>
      </c>
      <c r="C47" s="1" t="s">
        <v>24</v>
      </c>
      <c r="D47" s="1" t="s">
        <v>37</v>
      </c>
      <c r="E47" s="1" t="s">
        <v>26</v>
      </c>
      <c r="F47" s="1">
        <v>835.0</v>
      </c>
      <c r="G47" s="1">
        <v>0.0</v>
      </c>
      <c r="H47" s="1" t="s">
        <v>20</v>
      </c>
      <c r="I47" s="1" t="s">
        <v>21</v>
      </c>
    </row>
    <row r="48">
      <c r="A48" s="1">
        <v>1046.0</v>
      </c>
      <c r="B48" s="2">
        <v>45349.0</v>
      </c>
      <c r="C48" s="1" t="s">
        <v>30</v>
      </c>
      <c r="D48" s="1" t="s">
        <v>33</v>
      </c>
      <c r="E48" s="1" t="s">
        <v>14</v>
      </c>
      <c r="F48" s="1">
        <v>940.0</v>
      </c>
      <c r="G48" s="1">
        <v>0.0</v>
      </c>
      <c r="H48" s="1" t="s">
        <v>15</v>
      </c>
    </row>
    <row r="49">
      <c r="A49" s="1">
        <v>1047.0</v>
      </c>
      <c r="B49" s="2">
        <v>45292.0</v>
      </c>
      <c r="C49" s="1" t="s">
        <v>22</v>
      </c>
      <c r="D49" s="1" t="s">
        <v>32</v>
      </c>
      <c r="E49" s="1" t="s">
        <v>11</v>
      </c>
      <c r="F49" s="1">
        <v>712.0</v>
      </c>
      <c r="G49" s="1">
        <v>0.0</v>
      </c>
      <c r="H49" s="1" t="s">
        <v>15</v>
      </c>
    </row>
    <row r="50">
      <c r="A50" s="1">
        <v>1048.0</v>
      </c>
      <c r="B50" s="2">
        <v>45292.0</v>
      </c>
      <c r="C50" s="1" t="s">
        <v>40</v>
      </c>
      <c r="D50" s="1" t="s">
        <v>41</v>
      </c>
      <c r="E50" s="1" t="s">
        <v>42</v>
      </c>
      <c r="F50" s="1">
        <v>4270.0</v>
      </c>
      <c r="G50" s="1">
        <v>0.0</v>
      </c>
      <c r="H50" s="1" t="s">
        <v>20</v>
      </c>
      <c r="I50" s="1" t="s">
        <v>21</v>
      </c>
    </row>
    <row r="51">
      <c r="A51" s="1">
        <v>1049.0</v>
      </c>
      <c r="B51" s="2">
        <v>45317.0</v>
      </c>
      <c r="C51" s="1" t="s">
        <v>9</v>
      </c>
      <c r="D51" s="1" t="s">
        <v>13</v>
      </c>
      <c r="E51" s="1" t="s">
        <v>26</v>
      </c>
      <c r="F51" s="1">
        <v>2944.0</v>
      </c>
      <c r="G51" s="1">
        <v>0.0</v>
      </c>
      <c r="H51" s="1" t="s">
        <v>15</v>
      </c>
    </row>
    <row r="52">
      <c r="A52" s="1">
        <v>1050.0</v>
      </c>
      <c r="B52" s="2">
        <v>45360.0</v>
      </c>
      <c r="C52" s="1" t="s">
        <v>43</v>
      </c>
      <c r="D52" s="1" t="s">
        <v>48</v>
      </c>
      <c r="E52" s="1" t="s">
        <v>26</v>
      </c>
      <c r="F52" s="1">
        <v>2465.0</v>
      </c>
      <c r="G52" s="1">
        <v>0.0</v>
      </c>
      <c r="H52" s="1" t="s">
        <v>15</v>
      </c>
    </row>
    <row r="53">
      <c r="A53" s="1">
        <v>1051.0</v>
      </c>
      <c r="B53" s="2">
        <v>45314.0</v>
      </c>
      <c r="C53" s="1" t="s">
        <v>28</v>
      </c>
      <c r="D53" s="1" t="s">
        <v>49</v>
      </c>
      <c r="E53" s="1" t="s">
        <v>11</v>
      </c>
      <c r="F53" s="1">
        <v>3049.0</v>
      </c>
      <c r="G53" s="1">
        <v>0.0</v>
      </c>
      <c r="H53" s="1" t="s">
        <v>15</v>
      </c>
      <c r="I53" s="1" t="s">
        <v>16</v>
      </c>
    </row>
    <row r="54">
      <c r="A54" s="1">
        <v>1052.0</v>
      </c>
      <c r="B54" s="2">
        <v>45360.0</v>
      </c>
      <c r="C54" s="1" t="s">
        <v>24</v>
      </c>
      <c r="D54" s="1" t="s">
        <v>25</v>
      </c>
      <c r="E54" s="1" t="s">
        <v>42</v>
      </c>
      <c r="F54" s="1">
        <v>3287.0</v>
      </c>
      <c r="G54" s="1">
        <v>0.0</v>
      </c>
      <c r="H54" s="1" t="s">
        <v>12</v>
      </c>
    </row>
    <row r="55">
      <c r="A55" s="1">
        <v>1053.0</v>
      </c>
      <c r="B55" s="2">
        <v>45315.0</v>
      </c>
      <c r="C55" s="1" t="s">
        <v>43</v>
      </c>
      <c r="D55" s="1" t="s">
        <v>45</v>
      </c>
      <c r="E55" s="1" t="s">
        <v>26</v>
      </c>
      <c r="F55" s="1">
        <v>3946.0</v>
      </c>
      <c r="G55" s="1">
        <v>0.0</v>
      </c>
      <c r="H55" s="1" t="s">
        <v>12</v>
      </c>
    </row>
    <row r="56">
      <c r="A56" s="1">
        <v>1054.0</v>
      </c>
      <c r="B56" s="2">
        <v>45303.0</v>
      </c>
      <c r="C56" s="1" t="s">
        <v>24</v>
      </c>
      <c r="D56" s="1" t="s">
        <v>37</v>
      </c>
      <c r="E56" s="1" t="s">
        <v>11</v>
      </c>
      <c r="F56" s="1">
        <v>4113.0</v>
      </c>
      <c r="G56" s="1">
        <v>0.0</v>
      </c>
      <c r="H56" s="1" t="s">
        <v>15</v>
      </c>
    </row>
    <row r="57">
      <c r="A57" s="1">
        <v>1055.0</v>
      </c>
      <c r="B57" s="2">
        <v>45326.0</v>
      </c>
      <c r="C57" s="1" t="s">
        <v>17</v>
      </c>
      <c r="D57" s="1" t="s">
        <v>50</v>
      </c>
      <c r="E57" s="1" t="s">
        <v>14</v>
      </c>
      <c r="F57" s="1">
        <v>4385.0</v>
      </c>
      <c r="G57" s="1">
        <v>0.0</v>
      </c>
      <c r="H57" s="1" t="s">
        <v>15</v>
      </c>
    </row>
    <row r="58">
      <c r="A58" s="1">
        <v>1056.0</v>
      </c>
      <c r="B58" s="2">
        <v>45298.0</v>
      </c>
      <c r="C58" s="1" t="s">
        <v>38</v>
      </c>
      <c r="D58" s="1" t="s">
        <v>39</v>
      </c>
      <c r="E58" s="1" t="s">
        <v>19</v>
      </c>
      <c r="F58" s="1">
        <v>1716.0</v>
      </c>
      <c r="G58" s="1">
        <v>0.0</v>
      </c>
      <c r="H58" s="1" t="s">
        <v>15</v>
      </c>
      <c r="I58" s="1" t="s">
        <v>16</v>
      </c>
    </row>
    <row r="59">
      <c r="A59" s="1">
        <v>1057.0</v>
      </c>
      <c r="B59" s="2">
        <v>45327.0</v>
      </c>
      <c r="C59" s="1" t="s">
        <v>22</v>
      </c>
      <c r="D59" s="1" t="s">
        <v>23</v>
      </c>
      <c r="E59" s="1" t="s">
        <v>11</v>
      </c>
      <c r="F59" s="1">
        <v>2704.0</v>
      </c>
      <c r="G59" s="1">
        <v>0.0</v>
      </c>
      <c r="H59" s="1" t="s">
        <v>15</v>
      </c>
    </row>
    <row r="60">
      <c r="A60" s="1">
        <v>1058.0</v>
      </c>
      <c r="B60" s="2">
        <v>45373.0</v>
      </c>
      <c r="C60" s="1" t="s">
        <v>24</v>
      </c>
      <c r="D60" s="1" t="s">
        <v>25</v>
      </c>
      <c r="E60" s="1" t="s">
        <v>26</v>
      </c>
      <c r="F60" s="1">
        <v>2343.0</v>
      </c>
      <c r="G60" s="1">
        <v>0.0</v>
      </c>
      <c r="H60" s="1" t="s">
        <v>15</v>
      </c>
    </row>
    <row r="61">
      <c r="A61" s="1">
        <v>1059.0</v>
      </c>
      <c r="B61" s="2">
        <v>45314.0</v>
      </c>
      <c r="C61" s="1" t="s">
        <v>34</v>
      </c>
      <c r="D61" s="1" t="s">
        <v>46</v>
      </c>
      <c r="E61" s="1" t="s">
        <v>11</v>
      </c>
      <c r="F61" s="1">
        <v>4152.0</v>
      </c>
      <c r="G61" s="1">
        <v>0.0</v>
      </c>
      <c r="H61" s="1" t="s">
        <v>12</v>
      </c>
    </row>
    <row r="62">
      <c r="A62" s="1">
        <v>1060.0</v>
      </c>
      <c r="B62" s="2">
        <v>45310.0</v>
      </c>
      <c r="C62" s="1" t="s">
        <v>40</v>
      </c>
      <c r="D62" s="1" t="s">
        <v>51</v>
      </c>
      <c r="E62" s="1" t="s">
        <v>14</v>
      </c>
      <c r="F62" s="1">
        <v>595.0</v>
      </c>
      <c r="G62" s="1">
        <v>6171.0</v>
      </c>
      <c r="H62" s="1" t="s">
        <v>15</v>
      </c>
    </row>
    <row r="63">
      <c r="A63" s="1">
        <v>1061.0</v>
      </c>
      <c r="B63" s="2">
        <v>45307.0</v>
      </c>
      <c r="C63" s="1" t="s">
        <v>28</v>
      </c>
      <c r="D63" s="1" t="s">
        <v>49</v>
      </c>
      <c r="E63" s="1" t="s">
        <v>19</v>
      </c>
      <c r="F63" s="1">
        <v>3138.0</v>
      </c>
      <c r="G63" s="1">
        <v>0.0</v>
      </c>
      <c r="H63" s="1" t="s">
        <v>15</v>
      </c>
    </row>
    <row r="64">
      <c r="A64" s="1">
        <v>1062.0</v>
      </c>
      <c r="B64" s="2">
        <v>45344.0</v>
      </c>
      <c r="C64" s="1" t="s">
        <v>22</v>
      </c>
      <c r="D64" s="1" t="s">
        <v>23</v>
      </c>
      <c r="E64" s="1" t="s">
        <v>11</v>
      </c>
      <c r="F64" s="1">
        <v>3182.0</v>
      </c>
      <c r="G64" s="1">
        <v>6729.0</v>
      </c>
      <c r="H64" s="1" t="s">
        <v>15</v>
      </c>
    </row>
    <row r="65">
      <c r="A65" s="1">
        <v>1063.0</v>
      </c>
      <c r="B65" s="2">
        <v>45366.0</v>
      </c>
      <c r="C65" s="1" t="s">
        <v>9</v>
      </c>
      <c r="D65" s="1" t="s">
        <v>13</v>
      </c>
      <c r="E65" s="1" t="s">
        <v>14</v>
      </c>
      <c r="F65" s="1">
        <v>1153.0</v>
      </c>
      <c r="G65" s="1">
        <v>0.0</v>
      </c>
      <c r="H65" s="1" t="s">
        <v>15</v>
      </c>
    </row>
    <row r="66">
      <c r="A66" s="1">
        <v>1064.0</v>
      </c>
      <c r="B66" s="2">
        <v>45331.0</v>
      </c>
      <c r="C66" s="1" t="s">
        <v>9</v>
      </c>
      <c r="D66" s="1" t="s">
        <v>10</v>
      </c>
      <c r="E66" s="1" t="s">
        <v>11</v>
      </c>
      <c r="F66" s="1">
        <v>3193.0</v>
      </c>
      <c r="G66" s="1">
        <v>0.0</v>
      </c>
      <c r="H66" s="1" t="s">
        <v>15</v>
      </c>
    </row>
    <row r="67">
      <c r="A67" s="1">
        <v>1065.0</v>
      </c>
      <c r="B67" s="2">
        <v>45299.0</v>
      </c>
      <c r="C67" s="1" t="s">
        <v>34</v>
      </c>
      <c r="D67" s="1" t="s">
        <v>35</v>
      </c>
      <c r="E67" s="1" t="s">
        <v>14</v>
      </c>
      <c r="F67" s="1">
        <v>2056.0</v>
      </c>
      <c r="G67" s="1">
        <v>0.0</v>
      </c>
      <c r="H67" s="1" t="s">
        <v>15</v>
      </c>
    </row>
    <row r="68">
      <c r="A68" s="1">
        <v>1066.0</v>
      </c>
      <c r="B68" s="2">
        <v>45295.0</v>
      </c>
      <c r="C68" s="1" t="s">
        <v>9</v>
      </c>
      <c r="D68" s="1" t="s">
        <v>13</v>
      </c>
      <c r="E68" s="1" t="s">
        <v>11</v>
      </c>
      <c r="F68" s="1">
        <v>3686.0</v>
      </c>
      <c r="G68" s="1">
        <v>0.0</v>
      </c>
      <c r="H68" s="1" t="s">
        <v>15</v>
      </c>
    </row>
    <row r="69">
      <c r="A69" s="1">
        <v>1067.0</v>
      </c>
      <c r="B69" s="2">
        <v>45381.0</v>
      </c>
      <c r="C69" s="1" t="s">
        <v>9</v>
      </c>
      <c r="D69" s="1" t="s">
        <v>13</v>
      </c>
      <c r="E69" s="1" t="s">
        <v>19</v>
      </c>
      <c r="F69" s="1">
        <v>3722.0</v>
      </c>
      <c r="G69" s="1">
        <v>0.0</v>
      </c>
      <c r="H69" s="1" t="s">
        <v>15</v>
      </c>
    </row>
    <row r="70">
      <c r="A70" s="1">
        <v>1068.0</v>
      </c>
      <c r="B70" s="2">
        <v>45363.0</v>
      </c>
      <c r="C70" s="1" t="s">
        <v>38</v>
      </c>
      <c r="D70" s="1" t="s">
        <v>39</v>
      </c>
      <c r="E70" s="1" t="s">
        <v>26</v>
      </c>
      <c r="F70" s="1">
        <v>1584.0</v>
      </c>
      <c r="G70" s="1">
        <v>0.0</v>
      </c>
      <c r="H70" s="1" t="s">
        <v>15</v>
      </c>
    </row>
    <row r="71">
      <c r="A71" s="1">
        <v>1069.0</v>
      </c>
      <c r="B71" s="2">
        <v>45316.0</v>
      </c>
      <c r="C71" s="1" t="s">
        <v>22</v>
      </c>
      <c r="D71" s="1" t="s">
        <v>23</v>
      </c>
      <c r="E71" s="1" t="s">
        <v>26</v>
      </c>
      <c r="F71" s="1">
        <v>333.0</v>
      </c>
      <c r="G71" s="1">
        <v>0.0</v>
      </c>
      <c r="H71" s="1" t="s">
        <v>36</v>
      </c>
    </row>
    <row r="72">
      <c r="A72" s="1">
        <v>1070.0</v>
      </c>
      <c r="B72" s="2">
        <v>45366.0</v>
      </c>
      <c r="C72" s="1" t="s">
        <v>34</v>
      </c>
      <c r="D72" s="1" t="s">
        <v>35</v>
      </c>
      <c r="E72" s="1" t="s">
        <v>11</v>
      </c>
      <c r="F72" s="1">
        <v>1450.0</v>
      </c>
      <c r="G72" s="1">
        <v>0.0</v>
      </c>
      <c r="H72" s="1" t="s">
        <v>36</v>
      </c>
    </row>
    <row r="73">
      <c r="A73" s="1">
        <v>1071.0</v>
      </c>
      <c r="B73" s="2">
        <v>45345.0</v>
      </c>
      <c r="C73" s="1" t="s">
        <v>22</v>
      </c>
      <c r="D73" s="1" t="s">
        <v>23</v>
      </c>
      <c r="E73" s="1" t="s">
        <v>42</v>
      </c>
      <c r="F73" s="1">
        <v>2903.0</v>
      </c>
      <c r="G73" s="1">
        <v>0.0</v>
      </c>
      <c r="H73" s="1" t="s">
        <v>15</v>
      </c>
    </row>
    <row r="74">
      <c r="A74" s="1">
        <v>1072.0</v>
      </c>
      <c r="B74" s="2">
        <v>45315.0</v>
      </c>
      <c r="C74" s="1" t="s">
        <v>38</v>
      </c>
      <c r="D74" s="1" t="s">
        <v>39</v>
      </c>
      <c r="E74" s="1" t="s">
        <v>26</v>
      </c>
      <c r="F74" s="1">
        <v>1345.0</v>
      </c>
      <c r="G74" s="1">
        <v>0.0</v>
      </c>
      <c r="H74" s="1" t="s">
        <v>12</v>
      </c>
    </row>
    <row r="75">
      <c r="A75" s="1">
        <v>1073.0</v>
      </c>
      <c r="B75" s="2">
        <v>45319.0</v>
      </c>
      <c r="C75" s="1" t="s">
        <v>38</v>
      </c>
      <c r="D75" s="1" t="s">
        <v>39</v>
      </c>
      <c r="E75" s="1" t="s">
        <v>19</v>
      </c>
      <c r="F75" s="1">
        <v>4336.0</v>
      </c>
      <c r="G75" s="1">
        <v>0.0</v>
      </c>
      <c r="H75" s="1" t="s">
        <v>15</v>
      </c>
    </row>
    <row r="76">
      <c r="A76" s="1">
        <v>1074.0</v>
      </c>
      <c r="B76" s="2">
        <v>45375.0</v>
      </c>
      <c r="C76" s="1" t="s">
        <v>43</v>
      </c>
      <c r="D76" s="1" t="s">
        <v>44</v>
      </c>
      <c r="E76" s="1" t="s">
        <v>42</v>
      </c>
      <c r="F76" s="1">
        <v>1124.0</v>
      </c>
      <c r="G76" s="1">
        <v>0.0</v>
      </c>
      <c r="H76" s="1" t="s">
        <v>12</v>
      </c>
    </row>
    <row r="77">
      <c r="A77" s="1">
        <v>1075.0</v>
      </c>
      <c r="B77" s="2">
        <v>45360.0</v>
      </c>
      <c r="C77" s="1" t="s">
        <v>40</v>
      </c>
      <c r="D77" s="1" t="s">
        <v>41</v>
      </c>
      <c r="E77" s="1" t="s">
        <v>14</v>
      </c>
      <c r="F77" s="1">
        <v>209.0</v>
      </c>
      <c r="G77" s="1">
        <v>0.0</v>
      </c>
      <c r="H77" s="1" t="s">
        <v>12</v>
      </c>
    </row>
    <row r="78">
      <c r="A78" s="1">
        <v>1076.0</v>
      </c>
      <c r="B78" s="2">
        <v>45356.0</v>
      </c>
      <c r="C78" s="1" t="s">
        <v>34</v>
      </c>
      <c r="D78" s="1" t="s">
        <v>47</v>
      </c>
      <c r="E78" s="1" t="s">
        <v>42</v>
      </c>
      <c r="F78" s="1">
        <v>4358.0</v>
      </c>
      <c r="G78" s="1">
        <v>0.0</v>
      </c>
      <c r="H78" s="1" t="s">
        <v>15</v>
      </c>
    </row>
    <row r="79">
      <c r="A79" s="1">
        <v>1077.0</v>
      </c>
      <c r="B79" s="2">
        <v>45292.0</v>
      </c>
      <c r="C79" s="1" t="s">
        <v>43</v>
      </c>
      <c r="D79" s="1" t="s">
        <v>44</v>
      </c>
      <c r="E79" s="1" t="s">
        <v>42</v>
      </c>
      <c r="F79" s="1">
        <v>2200.0</v>
      </c>
      <c r="G79" s="1">
        <v>0.0</v>
      </c>
      <c r="H79" s="1" t="s">
        <v>15</v>
      </c>
    </row>
    <row r="80">
      <c r="A80" s="1">
        <v>1078.0</v>
      </c>
      <c r="B80" s="2">
        <v>45344.0</v>
      </c>
      <c r="C80" s="1" t="s">
        <v>24</v>
      </c>
      <c r="D80" s="1" t="s">
        <v>37</v>
      </c>
      <c r="E80" s="1" t="s">
        <v>11</v>
      </c>
      <c r="F80" s="1">
        <v>4378.0</v>
      </c>
      <c r="G80" s="1">
        <v>0.0</v>
      </c>
      <c r="H80" s="1" t="s">
        <v>36</v>
      </c>
    </row>
    <row r="81">
      <c r="A81" s="1">
        <v>1079.0</v>
      </c>
      <c r="B81" s="2">
        <v>45368.0</v>
      </c>
      <c r="C81" s="1" t="s">
        <v>43</v>
      </c>
      <c r="D81" s="1" t="s">
        <v>45</v>
      </c>
      <c r="E81" s="1" t="s">
        <v>11</v>
      </c>
      <c r="F81" s="1">
        <v>2023.0</v>
      </c>
      <c r="G81" s="1">
        <v>0.0</v>
      </c>
      <c r="H81" s="1" t="s">
        <v>15</v>
      </c>
    </row>
    <row r="82">
      <c r="A82" s="1">
        <v>1080.0</v>
      </c>
      <c r="B82" s="2">
        <v>45325.0</v>
      </c>
      <c r="C82" s="1" t="s">
        <v>9</v>
      </c>
      <c r="D82" s="1" t="s">
        <v>10</v>
      </c>
      <c r="E82" s="1" t="s">
        <v>19</v>
      </c>
      <c r="F82" s="1">
        <v>970.0</v>
      </c>
      <c r="G82" s="1">
        <v>0.0</v>
      </c>
      <c r="H82" s="1" t="s">
        <v>15</v>
      </c>
    </row>
    <row r="83">
      <c r="A83" s="1">
        <v>1081.0</v>
      </c>
      <c r="B83" s="2">
        <v>45348.0</v>
      </c>
      <c r="C83" s="1" t="s">
        <v>40</v>
      </c>
      <c r="D83" s="1" t="s">
        <v>41</v>
      </c>
      <c r="E83" s="1" t="s">
        <v>11</v>
      </c>
      <c r="F83" s="1">
        <v>3014.0</v>
      </c>
      <c r="G83" s="1">
        <v>0.0</v>
      </c>
      <c r="H83" s="1" t="s">
        <v>15</v>
      </c>
    </row>
    <row r="84">
      <c r="A84" s="1">
        <v>1082.0</v>
      </c>
      <c r="B84" s="2">
        <v>45366.0</v>
      </c>
      <c r="C84" s="1" t="s">
        <v>34</v>
      </c>
      <c r="D84" s="1" t="s">
        <v>35</v>
      </c>
      <c r="E84" s="1" t="s">
        <v>19</v>
      </c>
      <c r="F84" s="1">
        <v>1529.0</v>
      </c>
      <c r="G84" s="1">
        <v>0.0</v>
      </c>
      <c r="H84" s="1" t="s">
        <v>15</v>
      </c>
    </row>
    <row r="85">
      <c r="A85" s="1">
        <v>1083.0</v>
      </c>
      <c r="B85" s="2">
        <v>45354.0</v>
      </c>
      <c r="C85" s="1" t="s">
        <v>52</v>
      </c>
      <c r="D85" s="1" t="s">
        <v>53</v>
      </c>
      <c r="E85" s="1" t="s">
        <v>11</v>
      </c>
      <c r="F85" s="1">
        <v>0.0</v>
      </c>
      <c r="G85" s="1">
        <v>7261.0</v>
      </c>
      <c r="H85" s="1" t="s">
        <v>12</v>
      </c>
    </row>
    <row r="86">
      <c r="A86" s="1">
        <v>1084.0</v>
      </c>
      <c r="B86" s="2">
        <v>45372.0</v>
      </c>
      <c r="C86" s="1" t="s">
        <v>9</v>
      </c>
      <c r="D86" s="1" t="s">
        <v>10</v>
      </c>
      <c r="E86" s="1" t="s">
        <v>14</v>
      </c>
      <c r="F86" s="1">
        <v>337.0</v>
      </c>
      <c r="G86" s="1">
        <v>0.0</v>
      </c>
      <c r="H86" s="1" t="s">
        <v>36</v>
      </c>
    </row>
    <row r="87">
      <c r="A87" s="1">
        <v>1085.0</v>
      </c>
      <c r="B87" s="2">
        <v>45325.0</v>
      </c>
      <c r="C87" s="1" t="s">
        <v>28</v>
      </c>
      <c r="D87" s="1" t="s">
        <v>29</v>
      </c>
      <c r="E87" s="1" t="s">
        <v>11</v>
      </c>
      <c r="F87" s="1">
        <v>4018.0</v>
      </c>
      <c r="G87" s="1">
        <v>0.0</v>
      </c>
      <c r="H87" s="1" t="s">
        <v>12</v>
      </c>
    </row>
    <row r="88">
      <c r="A88" s="1">
        <v>1086.0</v>
      </c>
      <c r="B88" s="2">
        <v>45307.0</v>
      </c>
      <c r="C88" s="1" t="s">
        <v>22</v>
      </c>
      <c r="D88" s="1" t="s">
        <v>23</v>
      </c>
      <c r="E88" s="1" t="s">
        <v>14</v>
      </c>
      <c r="F88" s="1">
        <v>3147.0</v>
      </c>
      <c r="G88" s="1">
        <v>0.0</v>
      </c>
      <c r="H88" s="1" t="s">
        <v>12</v>
      </c>
    </row>
    <row r="89">
      <c r="A89" s="1">
        <v>1087.0</v>
      </c>
      <c r="B89" s="2">
        <v>45323.0</v>
      </c>
      <c r="C89" s="1" t="s">
        <v>24</v>
      </c>
      <c r="D89" s="1" t="s">
        <v>37</v>
      </c>
      <c r="E89" s="1" t="s">
        <v>11</v>
      </c>
      <c r="F89" s="1">
        <v>3322.0</v>
      </c>
      <c r="G89" s="1">
        <v>0.0</v>
      </c>
      <c r="H89" s="1" t="s">
        <v>15</v>
      </c>
    </row>
    <row r="90">
      <c r="A90" s="1">
        <v>1088.0</v>
      </c>
      <c r="B90" s="2">
        <v>45361.0</v>
      </c>
      <c r="C90" s="1" t="s">
        <v>38</v>
      </c>
      <c r="D90" s="1" t="s">
        <v>54</v>
      </c>
      <c r="E90" s="1" t="s">
        <v>11</v>
      </c>
      <c r="F90" s="1">
        <v>723.0</v>
      </c>
      <c r="G90" s="1">
        <v>0.0</v>
      </c>
      <c r="H90" s="1" t="s">
        <v>15</v>
      </c>
    </row>
    <row r="91">
      <c r="A91" s="1">
        <v>1089.0</v>
      </c>
      <c r="B91" s="2">
        <v>45364.0</v>
      </c>
      <c r="C91" s="1" t="s">
        <v>38</v>
      </c>
      <c r="D91" s="1" t="s">
        <v>54</v>
      </c>
      <c r="E91" s="1" t="s">
        <v>14</v>
      </c>
      <c r="F91" s="1">
        <v>2461.0</v>
      </c>
      <c r="G91" s="1">
        <v>0.0</v>
      </c>
      <c r="H91" s="1" t="s">
        <v>15</v>
      </c>
    </row>
    <row r="92">
      <c r="A92" s="1">
        <v>1090.0</v>
      </c>
      <c r="B92" s="2">
        <v>45292.0</v>
      </c>
      <c r="C92" s="1" t="s">
        <v>43</v>
      </c>
      <c r="D92" s="1" t="s">
        <v>48</v>
      </c>
      <c r="E92" s="1" t="s">
        <v>26</v>
      </c>
      <c r="F92" s="1">
        <v>1476.0</v>
      </c>
      <c r="G92" s="1">
        <v>2302.0</v>
      </c>
      <c r="H92" s="1" t="s">
        <v>15</v>
      </c>
    </row>
    <row r="93">
      <c r="A93" s="1">
        <v>1091.0</v>
      </c>
      <c r="B93" s="2">
        <v>45319.0</v>
      </c>
      <c r="C93" s="1" t="s">
        <v>40</v>
      </c>
      <c r="D93" s="1" t="s">
        <v>41</v>
      </c>
      <c r="E93" s="1" t="s">
        <v>19</v>
      </c>
      <c r="F93" s="1">
        <v>3487.0</v>
      </c>
      <c r="G93" s="1">
        <v>0.0</v>
      </c>
      <c r="H93" s="1" t="s">
        <v>15</v>
      </c>
    </row>
    <row r="94">
      <c r="A94" s="1">
        <v>1092.0</v>
      </c>
      <c r="B94" s="2">
        <v>45298.0</v>
      </c>
      <c r="C94" s="1" t="s">
        <v>52</v>
      </c>
      <c r="D94" s="1" t="s">
        <v>55</v>
      </c>
      <c r="E94" s="1" t="s">
        <v>11</v>
      </c>
      <c r="F94" s="1">
        <v>0.0</v>
      </c>
      <c r="G94" s="1">
        <v>3918.0</v>
      </c>
      <c r="H94" s="1" t="s">
        <v>12</v>
      </c>
    </row>
    <row r="95">
      <c r="A95" s="1">
        <v>1093.0</v>
      </c>
      <c r="B95" s="2">
        <v>45306.0</v>
      </c>
      <c r="C95" s="1" t="s">
        <v>17</v>
      </c>
      <c r="D95" s="1" t="s">
        <v>18</v>
      </c>
      <c r="E95" s="1" t="s">
        <v>14</v>
      </c>
      <c r="F95" s="1">
        <v>2275.0</v>
      </c>
      <c r="G95" s="1">
        <v>0.0</v>
      </c>
      <c r="H95" s="1" t="s">
        <v>15</v>
      </c>
    </row>
    <row r="96">
      <c r="A96" s="1">
        <v>1094.0</v>
      </c>
      <c r="B96" s="2">
        <v>45335.0</v>
      </c>
      <c r="C96" s="1" t="s">
        <v>9</v>
      </c>
      <c r="D96" s="1" t="s">
        <v>10</v>
      </c>
      <c r="E96" s="1" t="s">
        <v>19</v>
      </c>
      <c r="F96" s="1">
        <v>3796.0</v>
      </c>
      <c r="G96" s="1">
        <v>0.0</v>
      </c>
      <c r="H96" s="1" t="s">
        <v>15</v>
      </c>
    </row>
    <row r="97">
      <c r="A97" s="1">
        <v>1095.0</v>
      </c>
      <c r="B97" s="2">
        <v>45309.0</v>
      </c>
      <c r="C97" s="1" t="s">
        <v>24</v>
      </c>
      <c r="D97" s="1" t="s">
        <v>37</v>
      </c>
      <c r="E97" s="1" t="s">
        <v>11</v>
      </c>
      <c r="F97" s="1">
        <v>4406.0</v>
      </c>
      <c r="G97" s="1">
        <v>0.0</v>
      </c>
      <c r="H97" s="1" t="s">
        <v>15</v>
      </c>
    </row>
    <row r="98">
      <c r="A98" s="1">
        <v>1096.0</v>
      </c>
      <c r="B98" s="2">
        <v>45374.0</v>
      </c>
      <c r="C98" s="1" t="s">
        <v>30</v>
      </c>
      <c r="D98" s="1" t="s">
        <v>33</v>
      </c>
      <c r="E98" s="1" t="s">
        <v>26</v>
      </c>
      <c r="F98" s="1">
        <v>2860.0</v>
      </c>
      <c r="G98" s="1">
        <v>0.0</v>
      </c>
      <c r="H98" s="1" t="s">
        <v>15</v>
      </c>
    </row>
    <row r="99">
      <c r="A99" s="1">
        <v>1097.0</v>
      </c>
      <c r="B99" s="2">
        <v>45361.0</v>
      </c>
      <c r="C99" s="1" t="s">
        <v>17</v>
      </c>
      <c r="D99" s="1" t="s">
        <v>27</v>
      </c>
      <c r="E99" s="1" t="s">
        <v>14</v>
      </c>
      <c r="F99" s="1">
        <v>1512.0</v>
      </c>
      <c r="G99" s="1">
        <v>0.0</v>
      </c>
      <c r="H99" s="1" t="s">
        <v>12</v>
      </c>
    </row>
    <row r="100">
      <c r="A100" s="1">
        <v>1098.0</v>
      </c>
      <c r="B100" s="2">
        <v>45366.0</v>
      </c>
      <c r="C100" s="1" t="s">
        <v>40</v>
      </c>
      <c r="D100" s="1" t="s">
        <v>51</v>
      </c>
      <c r="E100" s="1" t="s">
        <v>26</v>
      </c>
      <c r="F100" s="1">
        <v>2597.0</v>
      </c>
      <c r="G100" s="1">
        <v>0.0</v>
      </c>
      <c r="H100" s="1" t="s">
        <v>15</v>
      </c>
    </row>
    <row r="101">
      <c r="A101" s="1">
        <v>1099.0</v>
      </c>
      <c r="B101" s="2">
        <v>45322.0</v>
      </c>
      <c r="C101" s="1" t="s">
        <v>9</v>
      </c>
      <c r="D101" s="1" t="s">
        <v>13</v>
      </c>
      <c r="E101" s="1" t="s">
        <v>14</v>
      </c>
      <c r="F101" s="1">
        <v>2795.0</v>
      </c>
      <c r="G101" s="1">
        <v>2005.0</v>
      </c>
      <c r="H101" s="1" t="s">
        <v>15</v>
      </c>
    </row>
    <row r="102">
      <c r="A102" s="1">
        <v>1100.0</v>
      </c>
      <c r="B102" s="2">
        <v>45370.0</v>
      </c>
      <c r="C102" s="1" t="s">
        <v>52</v>
      </c>
      <c r="D102" s="1" t="s">
        <v>55</v>
      </c>
      <c r="E102" s="1" t="s">
        <v>11</v>
      </c>
      <c r="F102" s="1">
        <v>0.0</v>
      </c>
      <c r="G102" s="1">
        <v>5551.0</v>
      </c>
      <c r="H102" s="1" t="s">
        <v>36</v>
      </c>
    </row>
    <row r="103">
      <c r="A103" s="1">
        <v>1101.0</v>
      </c>
      <c r="B103" s="2">
        <v>45299.0</v>
      </c>
      <c r="C103" s="1" t="s">
        <v>22</v>
      </c>
      <c r="D103" s="1" t="s">
        <v>32</v>
      </c>
      <c r="E103" s="1" t="s">
        <v>14</v>
      </c>
      <c r="F103" s="1">
        <v>1341.0</v>
      </c>
      <c r="G103" s="1">
        <v>0.0</v>
      </c>
      <c r="H103" s="1" t="s">
        <v>15</v>
      </c>
    </row>
    <row r="104">
      <c r="A104" s="1">
        <v>1102.0</v>
      </c>
      <c r="B104" s="2">
        <v>45338.0</v>
      </c>
      <c r="C104" s="1" t="s">
        <v>28</v>
      </c>
      <c r="D104" s="1" t="s">
        <v>49</v>
      </c>
      <c r="E104" s="1" t="s">
        <v>26</v>
      </c>
      <c r="F104" s="1">
        <v>1773.0</v>
      </c>
      <c r="G104" s="1">
        <v>0.0</v>
      </c>
      <c r="H104" s="1" t="s">
        <v>12</v>
      </c>
    </row>
    <row r="105">
      <c r="A105" s="1">
        <v>1103.0</v>
      </c>
      <c r="B105" s="2">
        <v>45294.0</v>
      </c>
      <c r="C105" s="1" t="s">
        <v>28</v>
      </c>
      <c r="D105" s="1" t="s">
        <v>49</v>
      </c>
      <c r="E105" s="1" t="s">
        <v>14</v>
      </c>
      <c r="F105" s="1">
        <v>2239.0</v>
      </c>
      <c r="G105" s="1">
        <v>0.0</v>
      </c>
      <c r="H105" s="1" t="s">
        <v>15</v>
      </c>
    </row>
    <row r="106">
      <c r="A106" s="1">
        <v>1104.0</v>
      </c>
      <c r="B106" s="2">
        <v>45375.0</v>
      </c>
      <c r="C106" s="1" t="s">
        <v>17</v>
      </c>
      <c r="D106" s="1" t="s">
        <v>50</v>
      </c>
      <c r="E106" s="1" t="s">
        <v>19</v>
      </c>
      <c r="F106" s="1">
        <v>2576.0</v>
      </c>
      <c r="G106" s="1">
        <v>0.0</v>
      </c>
      <c r="H106" s="1" t="s">
        <v>15</v>
      </c>
    </row>
    <row r="107">
      <c r="A107" s="1">
        <v>1105.0</v>
      </c>
      <c r="B107" s="2">
        <v>45340.0</v>
      </c>
      <c r="C107" s="1" t="s">
        <v>30</v>
      </c>
      <c r="D107" s="1" t="s">
        <v>31</v>
      </c>
      <c r="E107" s="1" t="s">
        <v>14</v>
      </c>
      <c r="F107" s="1">
        <v>4227.0</v>
      </c>
      <c r="G107" s="1">
        <v>6429.0</v>
      </c>
      <c r="H107" s="1" t="s">
        <v>36</v>
      </c>
    </row>
    <row r="108">
      <c r="A108" s="1">
        <v>1106.0</v>
      </c>
      <c r="B108" s="2">
        <v>45325.0</v>
      </c>
      <c r="C108" s="1" t="s">
        <v>52</v>
      </c>
      <c r="D108" s="1" t="s">
        <v>56</v>
      </c>
      <c r="E108" s="1" t="s">
        <v>11</v>
      </c>
      <c r="F108" s="1">
        <v>0.0</v>
      </c>
      <c r="G108" s="1">
        <v>5560.0</v>
      </c>
      <c r="H108" s="1" t="s">
        <v>15</v>
      </c>
    </row>
    <row r="109">
      <c r="A109" s="1">
        <v>1107.0</v>
      </c>
      <c r="B109" s="2">
        <v>45363.0</v>
      </c>
      <c r="C109" s="1" t="s">
        <v>40</v>
      </c>
      <c r="D109" s="1" t="s">
        <v>41</v>
      </c>
      <c r="E109" s="1" t="s">
        <v>11</v>
      </c>
      <c r="F109" s="1">
        <v>1452.0</v>
      </c>
      <c r="G109" s="1">
        <v>0.0</v>
      </c>
      <c r="H109" s="1" t="s">
        <v>36</v>
      </c>
    </row>
    <row r="110">
      <c r="A110" s="1">
        <v>1108.0</v>
      </c>
      <c r="B110" s="2">
        <v>45374.0</v>
      </c>
      <c r="C110" s="1" t="s">
        <v>34</v>
      </c>
      <c r="D110" s="1" t="s">
        <v>46</v>
      </c>
      <c r="E110" s="1" t="s">
        <v>11</v>
      </c>
      <c r="F110" s="1">
        <v>2821.0</v>
      </c>
      <c r="G110" s="1">
        <v>0.0</v>
      </c>
      <c r="H110" s="1" t="s">
        <v>12</v>
      </c>
    </row>
    <row r="111">
      <c r="A111" s="1">
        <v>1109.0</v>
      </c>
      <c r="B111" s="2">
        <v>45329.0</v>
      </c>
      <c r="C111" s="1" t="s">
        <v>22</v>
      </c>
      <c r="D111" s="1" t="s">
        <v>32</v>
      </c>
      <c r="E111" s="1" t="s">
        <v>14</v>
      </c>
      <c r="F111" s="1">
        <v>2390.0</v>
      </c>
      <c r="G111" s="1">
        <v>0.0</v>
      </c>
      <c r="H111" s="1" t="s">
        <v>15</v>
      </c>
    </row>
    <row r="112">
      <c r="A112" s="1">
        <v>1110.0</v>
      </c>
      <c r="B112" s="2">
        <v>45342.0</v>
      </c>
      <c r="C112" s="1" t="s">
        <v>9</v>
      </c>
      <c r="D112" s="1" t="s">
        <v>10</v>
      </c>
      <c r="E112" s="1" t="s">
        <v>11</v>
      </c>
      <c r="F112" s="1">
        <v>397.0</v>
      </c>
      <c r="G112" s="1">
        <v>0.0</v>
      </c>
      <c r="H112" s="1" t="s">
        <v>15</v>
      </c>
    </row>
    <row r="113">
      <c r="A113" s="1">
        <v>1111.0</v>
      </c>
      <c r="B113" s="2">
        <v>45306.0</v>
      </c>
      <c r="C113" s="1" t="s">
        <v>30</v>
      </c>
      <c r="D113" s="1" t="s">
        <v>31</v>
      </c>
      <c r="E113" s="1" t="s">
        <v>26</v>
      </c>
      <c r="F113" s="1">
        <v>2235.0</v>
      </c>
      <c r="G113" s="1">
        <v>0.0</v>
      </c>
      <c r="H113" s="1" t="s">
        <v>36</v>
      </c>
    </row>
    <row r="114">
      <c r="A114" s="1">
        <v>1112.0</v>
      </c>
      <c r="B114" s="2">
        <v>45318.0</v>
      </c>
      <c r="C114" s="1" t="s">
        <v>40</v>
      </c>
      <c r="D114" s="1" t="s">
        <v>51</v>
      </c>
      <c r="E114" s="1" t="s">
        <v>42</v>
      </c>
      <c r="F114" s="1">
        <v>2443.0</v>
      </c>
      <c r="G114" s="1">
        <v>0.0</v>
      </c>
      <c r="H114" s="1" t="s">
        <v>12</v>
      </c>
    </row>
    <row r="115">
      <c r="A115" s="1">
        <v>1113.0</v>
      </c>
      <c r="B115" s="2">
        <v>45329.0</v>
      </c>
      <c r="C115" s="1" t="s">
        <v>52</v>
      </c>
      <c r="D115" s="1" t="s">
        <v>57</v>
      </c>
      <c r="E115" s="1" t="s">
        <v>11</v>
      </c>
      <c r="F115" s="1">
        <v>0.0</v>
      </c>
      <c r="G115" s="1">
        <v>9371.0</v>
      </c>
      <c r="H115" s="1" t="s">
        <v>15</v>
      </c>
    </row>
    <row r="116">
      <c r="A116" s="1">
        <v>1114.0</v>
      </c>
      <c r="B116" s="2">
        <v>45299.0</v>
      </c>
      <c r="C116" s="1" t="s">
        <v>28</v>
      </c>
      <c r="D116" s="1" t="s">
        <v>29</v>
      </c>
      <c r="E116" s="1" t="s">
        <v>11</v>
      </c>
      <c r="F116" s="1">
        <v>2571.0</v>
      </c>
      <c r="G116" s="1">
        <v>0.0</v>
      </c>
      <c r="H116" s="1" t="s">
        <v>15</v>
      </c>
    </row>
    <row r="117">
      <c r="A117" s="1">
        <v>1115.0</v>
      </c>
      <c r="B117" s="2">
        <v>45327.0</v>
      </c>
      <c r="C117" s="1" t="s">
        <v>24</v>
      </c>
      <c r="D117" s="1" t="s">
        <v>37</v>
      </c>
      <c r="E117" s="1" t="s">
        <v>26</v>
      </c>
      <c r="F117" s="1">
        <v>2316.0</v>
      </c>
      <c r="G117" s="1">
        <v>0.0</v>
      </c>
      <c r="H117" s="1" t="s">
        <v>12</v>
      </c>
    </row>
    <row r="118">
      <c r="A118" s="1">
        <v>1116.0</v>
      </c>
      <c r="B118" s="2">
        <v>45337.0</v>
      </c>
      <c r="C118" s="1" t="s">
        <v>30</v>
      </c>
      <c r="D118" s="1" t="s">
        <v>31</v>
      </c>
      <c r="E118" s="1" t="s">
        <v>19</v>
      </c>
      <c r="F118" s="1">
        <v>2465.0</v>
      </c>
      <c r="G118" s="1">
        <v>0.0</v>
      </c>
      <c r="H118" s="1" t="s">
        <v>12</v>
      </c>
    </row>
    <row r="119">
      <c r="A119" s="1">
        <v>1117.0</v>
      </c>
      <c r="B119" s="2">
        <v>45334.0</v>
      </c>
      <c r="C119" s="1" t="s">
        <v>22</v>
      </c>
      <c r="D119" s="1" t="s">
        <v>23</v>
      </c>
      <c r="E119" s="1" t="s">
        <v>26</v>
      </c>
      <c r="F119" s="1">
        <v>3135.0</v>
      </c>
      <c r="G119" s="1">
        <v>0.0</v>
      </c>
      <c r="H119" s="1" t="s">
        <v>36</v>
      </c>
    </row>
    <row r="120">
      <c r="A120" s="1">
        <v>1118.0</v>
      </c>
      <c r="B120" s="2">
        <v>45300.0</v>
      </c>
      <c r="C120" s="1" t="s">
        <v>43</v>
      </c>
      <c r="D120" s="1" t="s">
        <v>45</v>
      </c>
      <c r="E120" s="1" t="s">
        <v>19</v>
      </c>
      <c r="F120" s="1">
        <v>3733.0</v>
      </c>
      <c r="G120" s="1">
        <v>0.0</v>
      </c>
      <c r="H120" s="1" t="s">
        <v>15</v>
      </c>
    </row>
    <row r="121">
      <c r="A121" s="1">
        <v>1119.0</v>
      </c>
      <c r="B121" s="2">
        <v>45312.0</v>
      </c>
      <c r="C121" s="1" t="s">
        <v>9</v>
      </c>
      <c r="D121" s="1" t="s">
        <v>13</v>
      </c>
      <c r="E121" s="1" t="s">
        <v>11</v>
      </c>
      <c r="F121" s="1">
        <v>1405.0</v>
      </c>
      <c r="G121" s="1">
        <v>0.0</v>
      </c>
      <c r="H121" s="1" t="s">
        <v>15</v>
      </c>
    </row>
    <row r="122">
      <c r="A122" s="1">
        <v>1120.0</v>
      </c>
      <c r="B122" s="2">
        <v>45331.0</v>
      </c>
      <c r="C122" s="1" t="s">
        <v>40</v>
      </c>
      <c r="D122" s="1" t="s">
        <v>51</v>
      </c>
      <c r="E122" s="1" t="s">
        <v>14</v>
      </c>
      <c r="F122" s="1">
        <v>3702.0</v>
      </c>
      <c r="G122" s="1">
        <v>0.0</v>
      </c>
      <c r="H122" s="1" t="s">
        <v>12</v>
      </c>
    </row>
    <row r="123">
      <c r="A123" s="1">
        <v>1121.0</v>
      </c>
      <c r="B123" s="2">
        <v>45317.0</v>
      </c>
      <c r="C123" s="1" t="s">
        <v>28</v>
      </c>
      <c r="D123" s="1" t="s">
        <v>49</v>
      </c>
      <c r="E123" s="1" t="s">
        <v>11</v>
      </c>
      <c r="F123" s="1">
        <v>774.0</v>
      </c>
      <c r="G123" s="1">
        <v>0.0</v>
      </c>
      <c r="H123" s="1" t="s">
        <v>15</v>
      </c>
    </row>
    <row r="124">
      <c r="A124" s="1">
        <v>1122.0</v>
      </c>
      <c r="B124" s="2">
        <v>45382.0</v>
      </c>
      <c r="C124" s="1" t="s">
        <v>40</v>
      </c>
      <c r="D124" s="1" t="s">
        <v>41</v>
      </c>
      <c r="E124" s="1" t="s">
        <v>19</v>
      </c>
      <c r="F124" s="1">
        <v>3800.0</v>
      </c>
      <c r="G124" s="1">
        <v>0.0</v>
      </c>
      <c r="H124" s="1" t="s">
        <v>12</v>
      </c>
      <c r="I124" s="1" t="s">
        <v>16</v>
      </c>
    </row>
    <row r="125">
      <c r="A125" s="1">
        <v>1123.0</v>
      </c>
      <c r="B125" s="2">
        <v>45345.0</v>
      </c>
      <c r="C125" s="1" t="s">
        <v>52</v>
      </c>
      <c r="D125" s="1" t="s">
        <v>53</v>
      </c>
      <c r="E125" s="1" t="s">
        <v>11</v>
      </c>
      <c r="F125" s="1">
        <v>0.0</v>
      </c>
      <c r="G125" s="1">
        <v>4990.0</v>
      </c>
      <c r="H125" s="1" t="s">
        <v>15</v>
      </c>
    </row>
    <row r="126">
      <c r="A126" s="1">
        <v>1124.0</v>
      </c>
      <c r="B126" s="2">
        <v>45320.0</v>
      </c>
      <c r="C126" s="1" t="s">
        <v>34</v>
      </c>
      <c r="D126" s="1" t="s">
        <v>46</v>
      </c>
      <c r="E126" s="1" t="s">
        <v>42</v>
      </c>
      <c r="F126" s="1">
        <v>2913.0</v>
      </c>
      <c r="G126" s="1">
        <v>0.0</v>
      </c>
      <c r="H126" s="1" t="s">
        <v>15</v>
      </c>
    </row>
    <row r="127">
      <c r="A127" s="1">
        <v>1125.0</v>
      </c>
      <c r="B127" s="2">
        <v>45340.0</v>
      </c>
      <c r="C127" s="1" t="s">
        <v>9</v>
      </c>
      <c r="D127" s="1" t="s">
        <v>13</v>
      </c>
      <c r="E127" s="1" t="s">
        <v>26</v>
      </c>
      <c r="F127" s="1">
        <v>541.0</v>
      </c>
      <c r="G127" s="1">
        <v>0.0</v>
      </c>
      <c r="H127" s="1" t="s">
        <v>15</v>
      </c>
    </row>
    <row r="128">
      <c r="A128" s="1">
        <v>1126.0</v>
      </c>
      <c r="B128" s="2">
        <v>45304.0</v>
      </c>
      <c r="C128" s="1" t="s">
        <v>43</v>
      </c>
      <c r="D128" s="1" t="s">
        <v>45</v>
      </c>
      <c r="E128" s="1" t="s">
        <v>42</v>
      </c>
      <c r="F128" s="1">
        <v>2682.0</v>
      </c>
      <c r="G128" s="1">
        <v>0.0</v>
      </c>
      <c r="H128" s="1" t="s">
        <v>15</v>
      </c>
    </row>
    <row r="129">
      <c r="A129" s="1">
        <v>1127.0</v>
      </c>
      <c r="B129" s="2">
        <v>45321.0</v>
      </c>
      <c r="C129" s="1" t="s">
        <v>43</v>
      </c>
      <c r="D129" s="1" t="s">
        <v>44</v>
      </c>
      <c r="E129" s="1" t="s">
        <v>11</v>
      </c>
      <c r="F129" s="1">
        <v>2265.0</v>
      </c>
      <c r="G129" s="1">
        <v>0.0</v>
      </c>
      <c r="H129" s="1" t="s">
        <v>36</v>
      </c>
    </row>
    <row r="130">
      <c r="A130" s="1">
        <v>1128.0</v>
      </c>
      <c r="B130" s="2">
        <v>45329.0</v>
      </c>
      <c r="C130" s="1" t="s">
        <v>17</v>
      </c>
      <c r="D130" s="1" t="s">
        <v>18</v>
      </c>
      <c r="E130" s="1" t="s">
        <v>26</v>
      </c>
      <c r="F130" s="1">
        <v>3535.0</v>
      </c>
      <c r="G130" s="1">
        <v>0.0</v>
      </c>
      <c r="H130" s="1" t="s">
        <v>12</v>
      </c>
    </row>
    <row r="131">
      <c r="A131" s="1">
        <v>1129.0</v>
      </c>
      <c r="B131" s="2">
        <v>45325.0</v>
      </c>
      <c r="C131" s="1" t="s">
        <v>38</v>
      </c>
      <c r="D131" s="1" t="s">
        <v>39</v>
      </c>
      <c r="E131" s="1" t="s">
        <v>14</v>
      </c>
      <c r="F131" s="1">
        <v>254.0</v>
      </c>
      <c r="G131" s="1">
        <v>0.0</v>
      </c>
      <c r="H131" s="1" t="s">
        <v>15</v>
      </c>
    </row>
    <row r="132">
      <c r="A132" s="1">
        <v>1130.0</v>
      </c>
      <c r="B132" s="2">
        <v>45358.0</v>
      </c>
      <c r="C132" s="1" t="s">
        <v>30</v>
      </c>
      <c r="D132" s="1" t="s">
        <v>33</v>
      </c>
      <c r="E132" s="1" t="s">
        <v>42</v>
      </c>
      <c r="F132" s="1">
        <v>2690.0</v>
      </c>
      <c r="G132" s="1">
        <v>0.0</v>
      </c>
      <c r="H132" s="1" t="s">
        <v>15</v>
      </c>
    </row>
    <row r="133">
      <c r="A133" s="1">
        <v>1131.0</v>
      </c>
      <c r="B133" s="2">
        <v>45358.0</v>
      </c>
      <c r="C133" s="1" t="s">
        <v>22</v>
      </c>
      <c r="D133" s="1" t="s">
        <v>23</v>
      </c>
      <c r="E133" s="1" t="s">
        <v>11</v>
      </c>
      <c r="F133" s="1">
        <v>3875.0</v>
      </c>
      <c r="G133" s="1">
        <v>0.0</v>
      </c>
      <c r="H133" s="1" t="s">
        <v>36</v>
      </c>
    </row>
    <row r="134">
      <c r="A134" s="1">
        <v>1132.0</v>
      </c>
      <c r="B134" s="2">
        <v>45307.0</v>
      </c>
      <c r="C134" s="1" t="s">
        <v>30</v>
      </c>
      <c r="D134" s="1" t="s">
        <v>31</v>
      </c>
      <c r="E134" s="1" t="s">
        <v>14</v>
      </c>
      <c r="F134" s="1">
        <v>364.0</v>
      </c>
      <c r="G134" s="1">
        <v>0.0</v>
      </c>
      <c r="H134" s="1" t="s">
        <v>15</v>
      </c>
    </row>
    <row r="135">
      <c r="A135" s="1">
        <v>1133.0</v>
      </c>
      <c r="B135" s="2">
        <v>45298.0</v>
      </c>
      <c r="C135" s="1" t="s">
        <v>9</v>
      </c>
      <c r="D135" s="1" t="s">
        <v>10</v>
      </c>
      <c r="E135" s="1" t="s">
        <v>19</v>
      </c>
      <c r="F135" s="1">
        <v>2398.0</v>
      </c>
      <c r="G135" s="1">
        <v>0.0</v>
      </c>
      <c r="H135" s="1" t="s">
        <v>12</v>
      </c>
    </row>
    <row r="136">
      <c r="A136" s="1">
        <v>1134.0</v>
      </c>
      <c r="B136" s="2">
        <v>45351.0</v>
      </c>
      <c r="C136" s="1" t="s">
        <v>24</v>
      </c>
      <c r="D136" s="1" t="s">
        <v>25</v>
      </c>
      <c r="E136" s="1" t="s">
        <v>11</v>
      </c>
      <c r="F136" s="1">
        <v>2120.0</v>
      </c>
      <c r="G136" s="1">
        <v>0.0</v>
      </c>
      <c r="H136" s="1" t="s">
        <v>12</v>
      </c>
    </row>
    <row r="137">
      <c r="A137" s="1">
        <v>1135.0</v>
      </c>
      <c r="B137" s="2">
        <v>45358.0</v>
      </c>
      <c r="C137" s="1" t="s">
        <v>38</v>
      </c>
      <c r="D137" s="1" t="s">
        <v>54</v>
      </c>
      <c r="E137" s="1" t="s">
        <v>19</v>
      </c>
      <c r="F137" s="1">
        <v>1755.0</v>
      </c>
      <c r="G137" s="1">
        <v>0.0</v>
      </c>
      <c r="H137" s="1" t="s">
        <v>15</v>
      </c>
    </row>
    <row r="138">
      <c r="A138" s="1">
        <v>1136.0</v>
      </c>
      <c r="B138" s="2">
        <v>45335.0</v>
      </c>
      <c r="C138" s="1" t="s">
        <v>22</v>
      </c>
      <c r="D138" s="1" t="s">
        <v>32</v>
      </c>
      <c r="E138" s="1" t="s">
        <v>11</v>
      </c>
      <c r="F138" s="1">
        <v>3777.0</v>
      </c>
      <c r="G138" s="1">
        <v>0.0</v>
      </c>
      <c r="H138" s="1" t="s">
        <v>15</v>
      </c>
    </row>
    <row r="139">
      <c r="A139" s="1">
        <v>1137.0</v>
      </c>
      <c r="B139" s="2">
        <v>45378.0</v>
      </c>
      <c r="C139" s="1" t="s">
        <v>38</v>
      </c>
      <c r="D139" s="1" t="s">
        <v>39</v>
      </c>
      <c r="E139" s="1" t="s">
        <v>14</v>
      </c>
      <c r="F139" s="1">
        <v>2968.0</v>
      </c>
      <c r="G139" s="1">
        <v>0.0</v>
      </c>
      <c r="H139" s="1" t="s">
        <v>12</v>
      </c>
    </row>
    <row r="140">
      <c r="A140" s="1">
        <v>1138.0</v>
      </c>
      <c r="B140" s="2">
        <v>45316.0</v>
      </c>
      <c r="C140" s="1" t="s">
        <v>22</v>
      </c>
      <c r="D140" s="1" t="s">
        <v>32</v>
      </c>
      <c r="E140" s="1" t="s">
        <v>19</v>
      </c>
      <c r="F140" s="1">
        <v>1501.0</v>
      </c>
      <c r="G140" s="1">
        <v>0.0</v>
      </c>
      <c r="H140" s="1" t="s">
        <v>15</v>
      </c>
    </row>
    <row r="141">
      <c r="A141" s="1">
        <v>1139.0</v>
      </c>
      <c r="B141" s="2">
        <v>45378.0</v>
      </c>
      <c r="C141" s="1" t="s">
        <v>38</v>
      </c>
      <c r="D141" s="1" t="s">
        <v>54</v>
      </c>
      <c r="E141" s="1" t="s">
        <v>11</v>
      </c>
      <c r="F141" s="1">
        <v>2375.0</v>
      </c>
      <c r="G141" s="1">
        <v>0.0</v>
      </c>
      <c r="H141" s="1" t="s">
        <v>12</v>
      </c>
    </row>
    <row r="142">
      <c r="A142" s="1">
        <v>1140.0</v>
      </c>
      <c r="B142" s="2">
        <v>45328.0</v>
      </c>
      <c r="C142" s="1" t="s">
        <v>40</v>
      </c>
      <c r="D142" s="1" t="s">
        <v>41</v>
      </c>
      <c r="E142" s="1" t="s">
        <v>42</v>
      </c>
      <c r="F142" s="1">
        <v>1822.0</v>
      </c>
      <c r="G142" s="1">
        <v>0.0</v>
      </c>
      <c r="H142" s="1" t="s">
        <v>12</v>
      </c>
    </row>
    <row r="143">
      <c r="A143" s="1">
        <v>1141.0</v>
      </c>
      <c r="B143" s="2">
        <v>45322.0</v>
      </c>
      <c r="C143" s="1" t="s">
        <v>52</v>
      </c>
      <c r="D143" s="1" t="s">
        <v>56</v>
      </c>
      <c r="E143" s="1" t="s">
        <v>11</v>
      </c>
      <c r="F143" s="1">
        <v>0.0</v>
      </c>
      <c r="G143" s="1">
        <v>7263.0</v>
      </c>
      <c r="H143" s="1" t="s">
        <v>36</v>
      </c>
    </row>
    <row r="144">
      <c r="A144" s="1">
        <v>1142.0</v>
      </c>
      <c r="B144" s="2">
        <v>45336.0</v>
      </c>
      <c r="C144" s="1" t="s">
        <v>22</v>
      </c>
      <c r="D144" s="1" t="s">
        <v>23</v>
      </c>
      <c r="E144" s="1" t="s">
        <v>19</v>
      </c>
      <c r="F144" s="1">
        <v>3228.0</v>
      </c>
      <c r="G144" s="1">
        <v>0.0</v>
      </c>
      <c r="H144" s="1" t="s">
        <v>36</v>
      </c>
    </row>
    <row r="145">
      <c r="A145" s="1">
        <v>1143.0</v>
      </c>
      <c r="B145" s="2">
        <v>45356.0</v>
      </c>
      <c r="C145" s="1" t="s">
        <v>17</v>
      </c>
      <c r="D145" s="1" t="s">
        <v>18</v>
      </c>
      <c r="E145" s="1" t="s">
        <v>14</v>
      </c>
      <c r="F145" s="1">
        <v>3563.0</v>
      </c>
      <c r="G145" s="1">
        <v>0.0</v>
      </c>
      <c r="H145" s="1" t="s">
        <v>15</v>
      </c>
    </row>
    <row r="146">
      <c r="A146" s="1">
        <v>1144.0</v>
      </c>
      <c r="B146" s="2">
        <v>45302.0</v>
      </c>
      <c r="C146" s="1" t="s">
        <v>52</v>
      </c>
      <c r="D146" s="1" t="s">
        <v>55</v>
      </c>
      <c r="E146" s="1" t="s">
        <v>11</v>
      </c>
      <c r="F146" s="1">
        <v>0.0</v>
      </c>
      <c r="G146" s="1">
        <v>11378.0</v>
      </c>
      <c r="H146" s="1" t="s">
        <v>15</v>
      </c>
    </row>
    <row r="147">
      <c r="A147" s="1">
        <v>1145.0</v>
      </c>
      <c r="B147" s="2">
        <v>45346.0</v>
      </c>
      <c r="C147" s="1" t="s">
        <v>24</v>
      </c>
      <c r="D147" s="1" t="s">
        <v>25</v>
      </c>
      <c r="E147" s="1" t="s">
        <v>19</v>
      </c>
      <c r="F147" s="1">
        <v>1985.0</v>
      </c>
      <c r="G147" s="1">
        <v>0.0</v>
      </c>
      <c r="H147" s="1" t="s">
        <v>12</v>
      </c>
    </row>
    <row r="148">
      <c r="A148" s="1">
        <v>1146.0</v>
      </c>
      <c r="B148" s="2">
        <v>45372.0</v>
      </c>
      <c r="C148" s="1" t="s">
        <v>24</v>
      </c>
      <c r="D148" s="1" t="s">
        <v>25</v>
      </c>
      <c r="E148" s="1" t="s">
        <v>14</v>
      </c>
      <c r="F148" s="1">
        <v>681.0</v>
      </c>
      <c r="G148" s="1">
        <v>0.0</v>
      </c>
      <c r="H148" s="1" t="s">
        <v>15</v>
      </c>
    </row>
    <row r="149">
      <c r="A149" s="1">
        <v>1147.0</v>
      </c>
      <c r="B149" s="2">
        <v>45292.0</v>
      </c>
      <c r="C149" s="1" t="s">
        <v>22</v>
      </c>
      <c r="D149" s="1" t="s">
        <v>23</v>
      </c>
      <c r="E149" s="1" t="s">
        <v>42</v>
      </c>
      <c r="F149" s="1">
        <v>1138.0</v>
      </c>
      <c r="G149" s="1">
        <v>0.0</v>
      </c>
      <c r="H149" s="1" t="s">
        <v>15</v>
      </c>
    </row>
    <row r="150">
      <c r="A150" s="1">
        <v>1148.0</v>
      </c>
      <c r="B150" s="2">
        <v>45335.0</v>
      </c>
      <c r="C150" s="1" t="s">
        <v>24</v>
      </c>
      <c r="D150" s="1" t="s">
        <v>37</v>
      </c>
      <c r="E150" s="1" t="s">
        <v>19</v>
      </c>
      <c r="F150" s="1">
        <v>4397.0</v>
      </c>
      <c r="G150" s="1">
        <v>0.0</v>
      </c>
      <c r="H150" s="1" t="s">
        <v>20</v>
      </c>
      <c r="I150" s="1" t="s">
        <v>21</v>
      </c>
    </row>
    <row r="151">
      <c r="A151" s="1">
        <v>1149.0</v>
      </c>
      <c r="B151" s="2">
        <v>45340.0</v>
      </c>
      <c r="C151" s="1" t="s">
        <v>52</v>
      </c>
      <c r="D151" s="1" t="s">
        <v>53</v>
      </c>
      <c r="E151" s="1" t="s">
        <v>11</v>
      </c>
      <c r="F151" s="1">
        <v>0.0</v>
      </c>
      <c r="G151" s="1">
        <v>3329.0</v>
      </c>
      <c r="H15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3.25"/>
  </cols>
  <sheetData>
    <row r="1">
      <c r="A1" s="3" t="s">
        <v>58</v>
      </c>
    </row>
    <row r="2">
      <c r="A2" s="4"/>
      <c r="B2" s="5"/>
    </row>
    <row r="3">
      <c r="A3" s="6" t="s">
        <v>59</v>
      </c>
      <c r="B3" s="5">
        <f>IFERROR(__xludf.DUMMYFUNCTION("SUM(FILTER(Raw_Data!F:F, (Raw_Data!H:H=""Approved"") + (Raw_Data!H:H=""Completed"")))"),246698.0)</f>
        <v>246698</v>
      </c>
    </row>
    <row r="4">
      <c r="A4" s="6" t="s">
        <v>60</v>
      </c>
      <c r="B4" s="5">
        <f>IFERROR(__xludf.DUMMYFUNCTION("SUM(FILTER(Raw_Data!G:G, Raw_Data!H:H=""Completed""))"),19243.0)</f>
        <v>19243</v>
      </c>
    </row>
    <row r="5">
      <c r="A5" s="6" t="s">
        <v>61</v>
      </c>
      <c r="B5" s="5">
        <f> B4 - B3</f>
        <v>-227455</v>
      </c>
    </row>
    <row r="6">
      <c r="A6" s="7"/>
      <c r="B6" s="5"/>
    </row>
    <row r="7">
      <c r="A7" s="8" t="s">
        <v>62</v>
      </c>
      <c r="B7" s="5" t="s">
        <v>63</v>
      </c>
    </row>
    <row r="8">
      <c r="A8" s="7" t="s">
        <v>22</v>
      </c>
      <c r="B8" s="5">
        <v>46256.0</v>
      </c>
    </row>
    <row r="9">
      <c r="A9" s="7" t="s">
        <v>9</v>
      </c>
      <c r="B9" s="5">
        <v>38802.0</v>
      </c>
    </row>
    <row r="10">
      <c r="A10" s="7" t="s">
        <v>24</v>
      </c>
      <c r="B10" s="5">
        <v>29048.0</v>
      </c>
    </row>
    <row r="11">
      <c r="A11" s="7" t="s">
        <v>43</v>
      </c>
      <c r="B11" s="5">
        <v>26266.0</v>
      </c>
    </row>
    <row r="12">
      <c r="A12" s="7" t="s">
        <v>30</v>
      </c>
      <c r="B12" s="5">
        <v>24825.0</v>
      </c>
    </row>
    <row r="13">
      <c r="A13" s="7" t="s">
        <v>38</v>
      </c>
      <c r="B13" s="5">
        <v>17815.0</v>
      </c>
    </row>
    <row r="14">
      <c r="A14" s="7" t="s">
        <v>40</v>
      </c>
      <c r="B14" s="5">
        <v>17380.0</v>
      </c>
    </row>
    <row r="15">
      <c r="A15" s="7" t="s">
        <v>17</v>
      </c>
      <c r="B15" s="5">
        <v>17000.0</v>
      </c>
    </row>
    <row r="16">
      <c r="A16" s="7" t="s">
        <v>34</v>
      </c>
      <c r="B16" s="5">
        <v>14722.0</v>
      </c>
    </row>
    <row r="17">
      <c r="A17" s="7" t="s">
        <v>28</v>
      </c>
      <c r="B17" s="5">
        <v>14584.0</v>
      </c>
    </row>
    <row r="18">
      <c r="A18" s="7" t="s">
        <v>52</v>
      </c>
      <c r="B18" s="5">
        <v>0.0</v>
      </c>
    </row>
    <row r="19">
      <c r="A19" s="7" t="s">
        <v>64</v>
      </c>
      <c r="B19" s="5">
        <v>246698.0</v>
      </c>
    </row>
    <row r="20">
      <c r="A20" s="7"/>
      <c r="B20" s="5"/>
    </row>
    <row r="21"/>
    <row r="22"/>
    <row r="23"/>
    <row r="24"/>
    <row r="25"/>
    <row r="26"/>
    <row r="27"/>
    <row r="28"/>
    <row r="29"/>
    <row r="30"/>
    <row r="31"/>
    <row r="32"/>
    <row r="33">
      <c r="A33" s="7"/>
      <c r="B33" s="5"/>
    </row>
  </sheetData>
  <mergeCells count="1">
    <mergeCell ref="A1:B1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13.88"/>
    <col customWidth="1" min="4" max="4" width="16.25"/>
    <col customWidth="1" min="6" max="7" width="13.88"/>
    <col customWidth="1" min="8" max="8" width="16.25"/>
    <col customWidth="1" min="10" max="11" width="13.88"/>
    <col customWidth="1" min="12" max="12" width="16.88"/>
  </cols>
  <sheetData>
    <row r="1" ht="17.25" customHeight="1">
      <c r="A1" s="9"/>
      <c r="B1" s="10" t="s">
        <v>67</v>
      </c>
    </row>
    <row r="2" ht="17.25" customHeight="1">
      <c r="A2" s="9"/>
    </row>
    <row r="3" ht="17.25" customHeight="1">
      <c r="A3" s="9"/>
    </row>
    <row r="4" ht="17.25" customHeight="1">
      <c r="B4" s="11" t="s">
        <v>68</v>
      </c>
      <c r="F4" s="11" t="s">
        <v>60</v>
      </c>
      <c r="J4" s="11" t="s">
        <v>69</v>
      </c>
    </row>
    <row r="5" ht="17.25" customHeight="1"/>
    <row r="6" ht="17.25" customHeight="1"/>
    <row r="7" ht="30.75" customHeight="1">
      <c r="A7" s="12"/>
      <c r="B7" s="12">
        <f>Summary!B3</f>
        <v>246698</v>
      </c>
      <c r="F7" s="12">
        <f>Summary!B4</f>
        <v>19243</v>
      </c>
      <c r="J7" s="12">
        <f>Summary!B5</f>
        <v>-227455</v>
      </c>
    </row>
    <row r="26">
      <c r="B26" s="13" t="s">
        <v>70</v>
      </c>
    </row>
    <row r="29">
      <c r="M29" s="1" t="s">
        <v>71</v>
      </c>
    </row>
    <row r="30">
      <c r="A30" s="14"/>
      <c r="C30" s="4" t="s">
        <v>0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8</v>
      </c>
      <c r="L30" s="15"/>
      <c r="M30" s="15"/>
    </row>
    <row r="31">
      <c r="C31" s="16">
        <f>IFERROR(__xludf.DUMMYFUNCTION("FILTER(
  Raw_Data!A:I,
  (Raw_Data!H:H=""Pending"") +
  (Raw_Data!I:I=""Check discrepancy"")
)"),1000.0)</f>
        <v>1000</v>
      </c>
      <c r="D31" s="17">
        <f>IFERROR(__xludf.DUMMYFUNCTION("""COMPUTED_VALUE"""),45306.0)</f>
        <v>45306</v>
      </c>
      <c r="E31" s="18" t="str">
        <f>IFERROR(__xludf.DUMMYFUNCTION("""COMPUTED_VALUE"""),"Travel")</f>
        <v>Travel</v>
      </c>
      <c r="F31" s="18" t="str">
        <f>IFERROR(__xludf.DUMMYFUNCTION("""COMPUTED_VALUE"""),"FlyAway")</f>
        <v>FlyAway</v>
      </c>
      <c r="G31" s="18" t="str">
        <f>IFERROR(__xludf.DUMMYFUNCTION("""COMPUTED_VALUE"""),"Sales")</f>
        <v>Sales</v>
      </c>
      <c r="H31" s="19">
        <f>IFERROR(__xludf.DUMMYFUNCTION("""COMPUTED_VALUE"""),3972.0)</f>
        <v>3972</v>
      </c>
      <c r="I31" s="19">
        <f>IFERROR(__xludf.DUMMYFUNCTION("""COMPUTED_VALUE"""),0.0)</f>
        <v>0</v>
      </c>
      <c r="J31" s="18" t="str">
        <f>IFERROR(__xludf.DUMMYFUNCTION("""COMPUTED_VALUE"""),"Pending")</f>
        <v>Pending</v>
      </c>
      <c r="K31" s="20"/>
      <c r="L31" s="15"/>
      <c r="M31" s="15"/>
    </row>
    <row r="32">
      <c r="C32" s="21">
        <f>IFERROR(__xludf.DUMMYFUNCTION("""COMPUTED_VALUE"""),1001.0)</f>
        <v>1001</v>
      </c>
      <c r="D32" s="22">
        <f>IFERROR(__xludf.DUMMYFUNCTION("""COMPUTED_VALUE"""),45379.0)</f>
        <v>45379</v>
      </c>
      <c r="E32" s="23" t="str">
        <f>IFERROR(__xludf.DUMMYFUNCTION("""COMPUTED_VALUE"""),"Travel")</f>
        <v>Travel</v>
      </c>
      <c r="F32" s="23" t="str">
        <f>IFERROR(__xludf.DUMMYFUNCTION("""COMPUTED_VALUE"""),"EuroTravel")</f>
        <v>EuroTravel</v>
      </c>
      <c r="G32" s="23" t="str">
        <f>IFERROR(__xludf.DUMMYFUNCTION("""COMPUTED_VALUE"""),"Finance")</f>
        <v>Finance</v>
      </c>
      <c r="H32" s="24">
        <f>IFERROR(__xludf.DUMMYFUNCTION("""COMPUTED_VALUE"""),3119.0)</f>
        <v>3119</v>
      </c>
      <c r="I32" s="24">
        <f>IFERROR(__xludf.DUMMYFUNCTION("""COMPUTED_VALUE"""),0.0)</f>
        <v>0</v>
      </c>
      <c r="J32" s="23" t="str">
        <f>IFERROR(__xludf.DUMMYFUNCTION("""COMPUTED_VALUE"""),"Approved")</f>
        <v>Approved</v>
      </c>
      <c r="K32" s="25" t="str">
        <f>IFERROR(__xludf.DUMMYFUNCTION("""COMPUTED_VALUE"""),"Check discrepancy")</f>
        <v>Check discrepancy</v>
      </c>
    </row>
    <row r="33">
      <c r="C33" s="21">
        <f>IFERROR(__xludf.DUMMYFUNCTION("""COMPUTED_VALUE"""),1006.0)</f>
        <v>1006</v>
      </c>
      <c r="D33" s="22">
        <f>IFERROR(__xludf.DUMMYFUNCTION("""COMPUTED_VALUE"""),45362.0)</f>
        <v>45362</v>
      </c>
      <c r="E33" s="23" t="str">
        <f>IFERROR(__xludf.DUMMYFUNCTION("""COMPUTED_VALUE"""),"Office Supplies")</f>
        <v>Office Supplies</v>
      </c>
      <c r="F33" s="23" t="str">
        <f>IFERROR(__xludf.DUMMYFUNCTION("""COMPUTED_VALUE"""),"OfficeMart")</f>
        <v>OfficeMart</v>
      </c>
      <c r="G33" s="23" t="str">
        <f>IFERROR(__xludf.DUMMYFUNCTION("""COMPUTED_VALUE"""),"Marketing")</f>
        <v>Marketing</v>
      </c>
      <c r="H33" s="24">
        <f>IFERROR(__xludf.DUMMYFUNCTION("""COMPUTED_VALUE"""),975.0)</f>
        <v>975</v>
      </c>
      <c r="I33" s="24">
        <f>IFERROR(__xludf.DUMMYFUNCTION("""COMPUTED_VALUE"""),0.0)</f>
        <v>0</v>
      </c>
      <c r="J33" s="23" t="str">
        <f>IFERROR(__xludf.DUMMYFUNCTION("""COMPUTED_VALUE"""),"Pending")</f>
        <v>Pending</v>
      </c>
      <c r="K33" s="25"/>
    </row>
    <row r="34">
      <c r="C34" s="21">
        <f>IFERROR(__xludf.DUMMYFUNCTION("""COMPUTED_VALUE"""),1013.0)</f>
        <v>1013</v>
      </c>
      <c r="D34" s="22">
        <f>IFERROR(__xludf.DUMMYFUNCTION("""COMPUTED_VALUE"""),45335.0)</f>
        <v>45335</v>
      </c>
      <c r="E34" s="23" t="str">
        <f>IFERROR(__xludf.DUMMYFUNCTION("""COMPUTED_VALUE"""),"Travel")</f>
        <v>Travel</v>
      </c>
      <c r="F34" s="23" t="str">
        <f>IFERROR(__xludf.DUMMYFUNCTION("""COMPUTED_VALUE"""),"EuroTravel")</f>
        <v>EuroTravel</v>
      </c>
      <c r="G34" s="23" t="str">
        <f>IFERROR(__xludf.DUMMYFUNCTION("""COMPUTED_VALUE"""),"Sales")</f>
        <v>Sales</v>
      </c>
      <c r="H34" s="24">
        <f>IFERROR(__xludf.DUMMYFUNCTION("""COMPUTED_VALUE"""),1770.0)</f>
        <v>1770</v>
      </c>
      <c r="I34" s="24">
        <f>IFERROR(__xludf.DUMMYFUNCTION("""COMPUTED_VALUE"""),0.0)</f>
        <v>0</v>
      </c>
      <c r="J34" s="23" t="str">
        <f>IFERROR(__xludf.DUMMYFUNCTION("""COMPUTED_VALUE"""),"Pending")</f>
        <v>Pending</v>
      </c>
      <c r="K34" s="25"/>
    </row>
    <row r="35">
      <c r="C35" s="21">
        <f>IFERROR(__xludf.DUMMYFUNCTION("""COMPUTED_VALUE"""),1016.0)</f>
        <v>1016</v>
      </c>
      <c r="D35" s="22">
        <f>IFERROR(__xludf.DUMMYFUNCTION("""COMPUTED_VALUE"""),45314.0)</f>
        <v>45314</v>
      </c>
      <c r="E35" s="23" t="str">
        <f>IFERROR(__xludf.DUMMYFUNCTION("""COMPUTED_VALUE"""),"Marketing Tools")</f>
        <v>Marketing Tools</v>
      </c>
      <c r="F35" s="23" t="str">
        <f>IFERROR(__xludf.DUMMYFUNCTION("""COMPUTED_VALUE"""),"HubSpot")</f>
        <v>HubSpot</v>
      </c>
      <c r="G35" s="23" t="str">
        <f>IFERROR(__xludf.DUMMYFUNCTION("""COMPUTED_VALUE"""),"Sales")</f>
        <v>Sales</v>
      </c>
      <c r="H35" s="24">
        <f>IFERROR(__xludf.DUMMYFUNCTION("""COMPUTED_VALUE"""),1878.0)</f>
        <v>1878</v>
      </c>
      <c r="I35" s="24">
        <f>IFERROR(__xludf.DUMMYFUNCTION("""COMPUTED_VALUE"""),0.0)</f>
        <v>0</v>
      </c>
      <c r="J35" s="23" t="str">
        <f>IFERROR(__xludf.DUMMYFUNCTION("""COMPUTED_VALUE"""),"Pending")</f>
        <v>Pending</v>
      </c>
      <c r="K35" s="25"/>
    </row>
    <row r="36">
      <c r="C36" s="21">
        <f>IFERROR(__xludf.DUMMYFUNCTION("""COMPUTED_VALUE"""),1029.0)</f>
        <v>1029</v>
      </c>
      <c r="D36" s="22">
        <f>IFERROR(__xludf.DUMMYFUNCTION("""COMPUTED_VALUE"""),45310.0)</f>
        <v>45310</v>
      </c>
      <c r="E36" s="23" t="str">
        <f>IFERROR(__xludf.DUMMYFUNCTION("""COMPUTED_VALUE"""),"Travel")</f>
        <v>Travel</v>
      </c>
      <c r="F36" s="23" t="str">
        <f>IFERROR(__xludf.DUMMYFUNCTION("""COMPUTED_VALUE"""),"EuroTravel")</f>
        <v>EuroTravel</v>
      </c>
      <c r="G36" s="23" t="str">
        <f>IFERROR(__xludf.DUMMYFUNCTION("""COMPUTED_VALUE"""),"IT")</f>
        <v>IT</v>
      </c>
      <c r="H36" s="24">
        <f>IFERROR(__xludf.DUMMYFUNCTION("""COMPUTED_VALUE"""),1354.0)</f>
        <v>1354</v>
      </c>
      <c r="I36" s="24">
        <f>IFERROR(__xludf.DUMMYFUNCTION("""COMPUTED_VALUE"""),0.0)</f>
        <v>0</v>
      </c>
      <c r="J36" s="23" t="str">
        <f>IFERROR(__xludf.DUMMYFUNCTION("""COMPUTED_VALUE"""),"Pending")</f>
        <v>Pending</v>
      </c>
      <c r="K36" s="25"/>
    </row>
    <row r="37">
      <c r="C37" s="21">
        <f>IFERROR(__xludf.DUMMYFUNCTION("""COMPUTED_VALUE"""),1030.0)</f>
        <v>1030</v>
      </c>
      <c r="D37" s="22">
        <f>IFERROR(__xludf.DUMMYFUNCTION("""COMPUTED_VALUE"""),45363.0)</f>
        <v>45363</v>
      </c>
      <c r="E37" s="23" t="str">
        <f>IFERROR(__xludf.DUMMYFUNCTION("""COMPUTED_VALUE"""),"Cloud Services")</f>
        <v>Cloud Services</v>
      </c>
      <c r="F37" s="23" t="str">
        <f>IFERROR(__xludf.DUMMYFUNCTION("""COMPUTED_VALUE"""),"Google Cloud")</f>
        <v>Google Cloud</v>
      </c>
      <c r="G37" s="23" t="str">
        <f>IFERROR(__xludf.DUMMYFUNCTION("""COMPUTED_VALUE"""),"IT")</f>
        <v>IT</v>
      </c>
      <c r="H37" s="24">
        <f>IFERROR(__xludf.DUMMYFUNCTION("""COMPUTED_VALUE"""),4399.0)</f>
        <v>4399</v>
      </c>
      <c r="I37" s="24">
        <f>IFERROR(__xludf.DUMMYFUNCTION("""COMPUTED_VALUE"""),0.0)</f>
        <v>0</v>
      </c>
      <c r="J37" s="23" t="str">
        <f>IFERROR(__xludf.DUMMYFUNCTION("""COMPUTED_VALUE"""),"Pending")</f>
        <v>Pending</v>
      </c>
      <c r="K37" s="25" t="str">
        <f>IFERROR(__xludf.DUMMYFUNCTION("""COMPUTED_VALUE"""),"Check discrepancy")</f>
        <v>Check discrepancy</v>
      </c>
    </row>
    <row r="38">
      <c r="C38" s="21">
        <f>IFERROR(__xludf.DUMMYFUNCTION("""COMPUTED_VALUE"""),1035.0)</f>
        <v>1035</v>
      </c>
      <c r="D38" s="22">
        <f>IFERROR(__xludf.DUMMYFUNCTION("""COMPUTED_VALUE"""),45360.0)</f>
        <v>45360</v>
      </c>
      <c r="E38" s="23" t="str">
        <f>IFERROR(__xludf.DUMMYFUNCTION("""COMPUTED_VALUE"""),"Cloud Services")</f>
        <v>Cloud Services</v>
      </c>
      <c r="F38" s="23" t="str">
        <f>IFERROR(__xludf.DUMMYFUNCTION("""COMPUTED_VALUE"""),"Google Cloud")</f>
        <v>Google Cloud</v>
      </c>
      <c r="G38" s="23" t="str">
        <f>IFERROR(__xludf.DUMMYFUNCTION("""COMPUTED_VALUE"""),"IT")</f>
        <v>IT</v>
      </c>
      <c r="H38" s="24">
        <f>IFERROR(__xludf.DUMMYFUNCTION("""COMPUTED_VALUE"""),1015.0)</f>
        <v>1015</v>
      </c>
      <c r="I38" s="24">
        <f>IFERROR(__xludf.DUMMYFUNCTION("""COMPUTED_VALUE"""),0.0)</f>
        <v>0</v>
      </c>
      <c r="J38" s="23" t="str">
        <f>IFERROR(__xludf.DUMMYFUNCTION("""COMPUTED_VALUE"""),"Approved")</f>
        <v>Approved</v>
      </c>
      <c r="K38" s="25" t="str">
        <f>IFERROR(__xludf.DUMMYFUNCTION("""COMPUTED_VALUE"""),"Check discrepancy")</f>
        <v>Check discrepancy</v>
      </c>
    </row>
    <row r="39">
      <c r="C39" s="21">
        <f>IFERROR(__xludf.DUMMYFUNCTION("""COMPUTED_VALUE"""),1039.0)</f>
        <v>1039</v>
      </c>
      <c r="D39" s="22">
        <f>IFERROR(__xludf.DUMMYFUNCTION("""COMPUTED_VALUE"""),45323.0)</f>
        <v>45323</v>
      </c>
      <c r="E39" s="23" t="str">
        <f>IFERROR(__xludf.DUMMYFUNCTION("""COMPUTED_VALUE"""),"Payment Processing")</f>
        <v>Payment Processing</v>
      </c>
      <c r="F39" s="23" t="str">
        <f>IFERROR(__xludf.DUMMYFUNCTION("""COMPUTED_VALUE"""),"PayPal")</f>
        <v>PayPal</v>
      </c>
      <c r="G39" s="23" t="str">
        <f>IFERROR(__xludf.DUMMYFUNCTION("""COMPUTED_VALUE"""),"Operations")</f>
        <v>Operations</v>
      </c>
      <c r="H39" s="24">
        <f>IFERROR(__xludf.DUMMYFUNCTION("""COMPUTED_VALUE"""),1886.0)</f>
        <v>1886</v>
      </c>
      <c r="I39" s="24">
        <f>IFERROR(__xludf.DUMMYFUNCTION("""COMPUTED_VALUE"""),0.0)</f>
        <v>0</v>
      </c>
      <c r="J39" s="23" t="str">
        <f>IFERROR(__xludf.DUMMYFUNCTION("""COMPUTED_VALUE"""),"Pending")</f>
        <v>Pending</v>
      </c>
      <c r="K39" s="25"/>
    </row>
    <row r="40">
      <c r="C40" s="21">
        <f>IFERROR(__xludf.DUMMYFUNCTION("""COMPUTED_VALUE"""),1051.0)</f>
        <v>1051</v>
      </c>
      <c r="D40" s="22">
        <f>IFERROR(__xludf.DUMMYFUNCTION("""COMPUTED_VALUE"""),45314.0)</f>
        <v>45314</v>
      </c>
      <c r="E40" s="23" t="str">
        <f>IFERROR(__xludf.DUMMYFUNCTION("""COMPUTED_VALUE"""),"Marketing Tools")</f>
        <v>Marketing Tools</v>
      </c>
      <c r="F40" s="23" t="str">
        <f>IFERROR(__xludf.DUMMYFUNCTION("""COMPUTED_VALUE"""),"MailChimp")</f>
        <v>MailChimp</v>
      </c>
      <c r="G40" s="23" t="str">
        <f>IFERROR(__xludf.DUMMYFUNCTION("""COMPUTED_VALUE"""),"Sales")</f>
        <v>Sales</v>
      </c>
      <c r="H40" s="24">
        <f>IFERROR(__xludf.DUMMYFUNCTION("""COMPUTED_VALUE"""),3049.0)</f>
        <v>3049</v>
      </c>
      <c r="I40" s="24">
        <f>IFERROR(__xludf.DUMMYFUNCTION("""COMPUTED_VALUE"""),0.0)</f>
        <v>0</v>
      </c>
      <c r="J40" s="23" t="str">
        <f>IFERROR(__xludf.DUMMYFUNCTION("""COMPUTED_VALUE"""),"Approved")</f>
        <v>Approved</v>
      </c>
      <c r="K40" s="25" t="str">
        <f>IFERROR(__xludf.DUMMYFUNCTION("""COMPUTED_VALUE"""),"Check discrepancy")</f>
        <v>Check discrepancy</v>
      </c>
    </row>
    <row r="41">
      <c r="C41" s="21">
        <f>IFERROR(__xludf.DUMMYFUNCTION("""COMPUTED_VALUE"""),1052.0)</f>
        <v>1052</v>
      </c>
      <c r="D41" s="22">
        <f>IFERROR(__xludf.DUMMYFUNCTION("""COMPUTED_VALUE"""),45360.0)</f>
        <v>45360</v>
      </c>
      <c r="E41" s="23" t="str">
        <f>IFERROR(__xludf.DUMMYFUNCTION("""COMPUTED_VALUE"""),"Payment Processing")</f>
        <v>Payment Processing</v>
      </c>
      <c r="F41" s="23" t="str">
        <f>IFERROR(__xludf.DUMMYFUNCTION("""COMPUTED_VALUE"""),"PayPal")</f>
        <v>PayPal</v>
      </c>
      <c r="G41" s="23" t="str">
        <f>IFERROR(__xludf.DUMMYFUNCTION("""COMPUTED_VALUE"""),"IT")</f>
        <v>IT</v>
      </c>
      <c r="H41" s="24">
        <f>IFERROR(__xludf.DUMMYFUNCTION("""COMPUTED_VALUE"""),3287.0)</f>
        <v>3287</v>
      </c>
      <c r="I41" s="24">
        <f>IFERROR(__xludf.DUMMYFUNCTION("""COMPUTED_VALUE"""),0.0)</f>
        <v>0</v>
      </c>
      <c r="J41" s="23" t="str">
        <f>IFERROR(__xludf.DUMMYFUNCTION("""COMPUTED_VALUE"""),"Pending")</f>
        <v>Pending</v>
      </c>
      <c r="K41" s="25"/>
    </row>
    <row r="42">
      <c r="C42" s="21">
        <f>IFERROR(__xludf.DUMMYFUNCTION("""COMPUTED_VALUE"""),1053.0)</f>
        <v>1053</v>
      </c>
      <c r="D42" s="22">
        <f>IFERROR(__xludf.DUMMYFUNCTION("""COMPUTED_VALUE"""),45315.0)</f>
        <v>45315</v>
      </c>
      <c r="E42" s="23" t="str">
        <f>IFERROR(__xludf.DUMMYFUNCTION("""COMPUTED_VALUE"""),"Cloud Services")</f>
        <v>Cloud Services</v>
      </c>
      <c r="F42" s="23" t="str">
        <f>IFERROR(__xludf.DUMMYFUNCTION("""COMPUTED_VALUE"""),"Google Cloud")</f>
        <v>Google Cloud</v>
      </c>
      <c r="G42" s="23" t="str">
        <f>IFERROR(__xludf.DUMMYFUNCTION("""COMPUTED_VALUE"""),"Marketing")</f>
        <v>Marketing</v>
      </c>
      <c r="H42" s="24">
        <f>IFERROR(__xludf.DUMMYFUNCTION("""COMPUTED_VALUE"""),3946.0)</f>
        <v>3946</v>
      </c>
      <c r="I42" s="24">
        <f>IFERROR(__xludf.DUMMYFUNCTION("""COMPUTED_VALUE"""),0.0)</f>
        <v>0</v>
      </c>
      <c r="J42" s="23" t="str">
        <f>IFERROR(__xludf.DUMMYFUNCTION("""COMPUTED_VALUE"""),"Pending")</f>
        <v>Pending</v>
      </c>
      <c r="K42" s="25"/>
    </row>
    <row r="43">
      <c r="C43" s="21">
        <f>IFERROR(__xludf.DUMMYFUNCTION("""COMPUTED_VALUE"""),1056.0)</f>
        <v>1056</v>
      </c>
      <c r="D43" s="22">
        <f>IFERROR(__xludf.DUMMYFUNCTION("""COMPUTED_VALUE"""),45298.0)</f>
        <v>45298</v>
      </c>
      <c r="E43" s="23" t="str">
        <f>IFERROR(__xludf.DUMMYFUNCTION("""COMPUTED_VALUE"""),"Consulting")</f>
        <v>Consulting</v>
      </c>
      <c r="F43" s="23" t="str">
        <f>IFERROR(__xludf.DUMMYFUNCTION("""COMPUTED_VALUE"""),"BizAdvisors")</f>
        <v>BizAdvisors</v>
      </c>
      <c r="G43" s="23" t="str">
        <f>IFERROR(__xludf.DUMMYFUNCTION("""COMPUTED_VALUE"""),"Operations")</f>
        <v>Operations</v>
      </c>
      <c r="H43" s="24">
        <f>IFERROR(__xludf.DUMMYFUNCTION("""COMPUTED_VALUE"""),1716.0)</f>
        <v>1716</v>
      </c>
      <c r="I43" s="24">
        <f>IFERROR(__xludf.DUMMYFUNCTION("""COMPUTED_VALUE"""),0.0)</f>
        <v>0</v>
      </c>
      <c r="J43" s="23" t="str">
        <f>IFERROR(__xludf.DUMMYFUNCTION("""COMPUTED_VALUE"""),"Approved")</f>
        <v>Approved</v>
      </c>
      <c r="K43" s="25" t="str">
        <f>IFERROR(__xludf.DUMMYFUNCTION("""COMPUTED_VALUE"""),"Check discrepancy")</f>
        <v>Check discrepancy</v>
      </c>
    </row>
    <row r="44">
      <c r="C44" s="21">
        <f>IFERROR(__xludf.DUMMYFUNCTION("""COMPUTED_VALUE"""),1059.0)</f>
        <v>1059</v>
      </c>
      <c r="D44" s="22">
        <f>IFERROR(__xludf.DUMMYFUNCTION("""COMPUTED_VALUE"""),45314.0)</f>
        <v>45314</v>
      </c>
      <c r="E44" s="23" t="str">
        <f>IFERROR(__xludf.DUMMYFUNCTION("""COMPUTED_VALUE"""),"Subscriptions")</f>
        <v>Subscriptions</v>
      </c>
      <c r="F44" s="23" t="str">
        <f>IFERROR(__xludf.DUMMYFUNCTION("""COMPUTED_VALUE"""),"Atlassian")</f>
        <v>Atlassian</v>
      </c>
      <c r="G44" s="23" t="str">
        <f>IFERROR(__xludf.DUMMYFUNCTION("""COMPUTED_VALUE"""),"Sales")</f>
        <v>Sales</v>
      </c>
      <c r="H44" s="24">
        <f>IFERROR(__xludf.DUMMYFUNCTION("""COMPUTED_VALUE"""),4152.0)</f>
        <v>4152</v>
      </c>
      <c r="I44" s="24">
        <f>IFERROR(__xludf.DUMMYFUNCTION("""COMPUTED_VALUE"""),0.0)</f>
        <v>0</v>
      </c>
      <c r="J44" s="23" t="str">
        <f>IFERROR(__xludf.DUMMYFUNCTION("""COMPUTED_VALUE"""),"Pending")</f>
        <v>Pending</v>
      </c>
      <c r="K44" s="25"/>
    </row>
    <row r="45">
      <c r="C45" s="21">
        <f>IFERROR(__xludf.DUMMYFUNCTION("""COMPUTED_VALUE"""),1072.0)</f>
        <v>1072</v>
      </c>
      <c r="D45" s="22">
        <f>IFERROR(__xludf.DUMMYFUNCTION("""COMPUTED_VALUE"""),45315.0)</f>
        <v>45315</v>
      </c>
      <c r="E45" s="23" t="str">
        <f>IFERROR(__xludf.DUMMYFUNCTION("""COMPUTED_VALUE"""),"Consulting")</f>
        <v>Consulting</v>
      </c>
      <c r="F45" s="23" t="str">
        <f>IFERROR(__xludf.DUMMYFUNCTION("""COMPUTED_VALUE"""),"BizAdvisors")</f>
        <v>BizAdvisors</v>
      </c>
      <c r="G45" s="23" t="str">
        <f>IFERROR(__xludf.DUMMYFUNCTION("""COMPUTED_VALUE"""),"Marketing")</f>
        <v>Marketing</v>
      </c>
      <c r="H45" s="24">
        <f>IFERROR(__xludf.DUMMYFUNCTION("""COMPUTED_VALUE"""),1345.0)</f>
        <v>1345</v>
      </c>
      <c r="I45" s="24">
        <f>IFERROR(__xludf.DUMMYFUNCTION("""COMPUTED_VALUE"""),0.0)</f>
        <v>0</v>
      </c>
      <c r="J45" s="23" t="str">
        <f>IFERROR(__xludf.DUMMYFUNCTION("""COMPUTED_VALUE"""),"Pending")</f>
        <v>Pending</v>
      </c>
      <c r="K45" s="25"/>
    </row>
    <row r="46">
      <c r="C46" s="21">
        <f>IFERROR(__xludf.DUMMYFUNCTION("""COMPUTED_VALUE"""),1074.0)</f>
        <v>1074</v>
      </c>
      <c r="D46" s="22">
        <f>IFERROR(__xludf.DUMMYFUNCTION("""COMPUTED_VALUE"""),45375.0)</f>
        <v>45375</v>
      </c>
      <c r="E46" s="23" t="str">
        <f>IFERROR(__xludf.DUMMYFUNCTION("""COMPUTED_VALUE"""),"Cloud Services")</f>
        <v>Cloud Services</v>
      </c>
      <c r="F46" s="23" t="str">
        <f>IFERROR(__xludf.DUMMYFUNCTION("""COMPUTED_VALUE"""),"AWS")</f>
        <v>AWS</v>
      </c>
      <c r="G46" s="23" t="str">
        <f>IFERROR(__xludf.DUMMYFUNCTION("""COMPUTED_VALUE"""),"IT")</f>
        <v>IT</v>
      </c>
      <c r="H46" s="24">
        <f>IFERROR(__xludf.DUMMYFUNCTION("""COMPUTED_VALUE"""),1124.0)</f>
        <v>1124</v>
      </c>
      <c r="I46" s="24">
        <f>IFERROR(__xludf.DUMMYFUNCTION("""COMPUTED_VALUE"""),0.0)</f>
        <v>0</v>
      </c>
      <c r="J46" s="23" t="str">
        <f>IFERROR(__xludf.DUMMYFUNCTION("""COMPUTED_VALUE"""),"Pending")</f>
        <v>Pending</v>
      </c>
      <c r="K46" s="25"/>
    </row>
    <row r="47">
      <c r="C47" s="21">
        <f>IFERROR(__xludf.DUMMYFUNCTION("""COMPUTED_VALUE"""),1075.0)</f>
        <v>1075</v>
      </c>
      <c r="D47" s="22">
        <f>IFERROR(__xludf.DUMMYFUNCTION("""COMPUTED_VALUE"""),45360.0)</f>
        <v>45360</v>
      </c>
      <c r="E47" s="23" t="str">
        <f>IFERROR(__xludf.DUMMYFUNCTION("""COMPUTED_VALUE"""),"Advertising")</f>
        <v>Advertising</v>
      </c>
      <c r="F47" s="23" t="str">
        <f>IFERROR(__xludf.DUMMYFUNCTION("""COMPUTED_VALUE"""),"Facebook Ads")</f>
        <v>Facebook Ads</v>
      </c>
      <c r="G47" s="23" t="str">
        <f>IFERROR(__xludf.DUMMYFUNCTION("""COMPUTED_VALUE"""),"Finance")</f>
        <v>Finance</v>
      </c>
      <c r="H47" s="24">
        <f>IFERROR(__xludf.DUMMYFUNCTION("""COMPUTED_VALUE"""),209.0)</f>
        <v>209</v>
      </c>
      <c r="I47" s="24">
        <f>IFERROR(__xludf.DUMMYFUNCTION("""COMPUTED_VALUE"""),0.0)</f>
        <v>0</v>
      </c>
      <c r="J47" s="23" t="str">
        <f>IFERROR(__xludf.DUMMYFUNCTION("""COMPUTED_VALUE"""),"Pending")</f>
        <v>Pending</v>
      </c>
      <c r="K47" s="25"/>
    </row>
    <row r="48">
      <c r="C48" s="21">
        <f>IFERROR(__xludf.DUMMYFUNCTION("""COMPUTED_VALUE"""),1083.0)</f>
        <v>1083</v>
      </c>
      <c r="D48" s="22">
        <f>IFERROR(__xludf.DUMMYFUNCTION("""COMPUTED_VALUE"""),45354.0)</f>
        <v>45354</v>
      </c>
      <c r="E48" s="23" t="str">
        <f>IFERROR(__xludf.DUMMYFUNCTION("""COMPUTED_VALUE"""),"Client Revenue")</f>
        <v>Client Revenue</v>
      </c>
      <c r="F48" s="23" t="str">
        <f>IFERROR(__xludf.DUMMYFUNCTION("""COMPUTED_VALUE"""),"Client C")</f>
        <v>Client C</v>
      </c>
      <c r="G48" s="23" t="str">
        <f>IFERROR(__xludf.DUMMYFUNCTION("""COMPUTED_VALUE"""),"Sales")</f>
        <v>Sales</v>
      </c>
      <c r="H48" s="24">
        <f>IFERROR(__xludf.DUMMYFUNCTION("""COMPUTED_VALUE"""),0.0)</f>
        <v>0</v>
      </c>
      <c r="I48" s="24">
        <f>IFERROR(__xludf.DUMMYFUNCTION("""COMPUTED_VALUE"""),7261.0)</f>
        <v>7261</v>
      </c>
      <c r="J48" s="23" t="str">
        <f>IFERROR(__xludf.DUMMYFUNCTION("""COMPUTED_VALUE"""),"Pending")</f>
        <v>Pending</v>
      </c>
      <c r="K48" s="25"/>
    </row>
    <row r="49">
      <c r="C49" s="21">
        <f>IFERROR(__xludf.DUMMYFUNCTION("""COMPUTED_VALUE"""),1085.0)</f>
        <v>1085</v>
      </c>
      <c r="D49" s="22">
        <f>IFERROR(__xludf.DUMMYFUNCTION("""COMPUTED_VALUE"""),45325.0)</f>
        <v>45325</v>
      </c>
      <c r="E49" s="23" t="str">
        <f>IFERROR(__xludf.DUMMYFUNCTION("""COMPUTED_VALUE"""),"Marketing Tools")</f>
        <v>Marketing Tools</v>
      </c>
      <c r="F49" s="23" t="str">
        <f>IFERROR(__xludf.DUMMYFUNCTION("""COMPUTED_VALUE"""),"HubSpot")</f>
        <v>HubSpot</v>
      </c>
      <c r="G49" s="23" t="str">
        <f>IFERROR(__xludf.DUMMYFUNCTION("""COMPUTED_VALUE"""),"Sales")</f>
        <v>Sales</v>
      </c>
      <c r="H49" s="24">
        <f>IFERROR(__xludf.DUMMYFUNCTION("""COMPUTED_VALUE"""),4018.0)</f>
        <v>4018</v>
      </c>
      <c r="I49" s="24">
        <f>IFERROR(__xludf.DUMMYFUNCTION("""COMPUTED_VALUE"""),0.0)</f>
        <v>0</v>
      </c>
      <c r="J49" s="23" t="str">
        <f>IFERROR(__xludf.DUMMYFUNCTION("""COMPUTED_VALUE"""),"Pending")</f>
        <v>Pending</v>
      </c>
      <c r="K49" s="25"/>
    </row>
    <row r="50">
      <c r="C50" s="21">
        <f>IFERROR(__xludf.DUMMYFUNCTION("""COMPUTED_VALUE"""),1086.0)</f>
        <v>1086</v>
      </c>
      <c r="D50" s="22">
        <f>IFERROR(__xludf.DUMMYFUNCTION("""COMPUTED_VALUE"""),45307.0)</f>
        <v>45307</v>
      </c>
      <c r="E50" s="23" t="str">
        <f>IFERROR(__xludf.DUMMYFUNCTION("""COMPUTED_VALUE"""),"Hardware")</f>
        <v>Hardware</v>
      </c>
      <c r="F50" s="23" t="str">
        <f>IFERROR(__xludf.DUMMYFUNCTION("""COMPUTED_VALUE"""),"Dell")</f>
        <v>Dell</v>
      </c>
      <c r="G50" s="23" t="str">
        <f>IFERROR(__xludf.DUMMYFUNCTION("""COMPUTED_VALUE"""),"Finance")</f>
        <v>Finance</v>
      </c>
      <c r="H50" s="24">
        <f>IFERROR(__xludf.DUMMYFUNCTION("""COMPUTED_VALUE"""),3147.0)</f>
        <v>3147</v>
      </c>
      <c r="I50" s="24">
        <f>IFERROR(__xludf.DUMMYFUNCTION("""COMPUTED_VALUE"""),0.0)</f>
        <v>0</v>
      </c>
      <c r="J50" s="23" t="str">
        <f>IFERROR(__xludf.DUMMYFUNCTION("""COMPUTED_VALUE"""),"Pending")</f>
        <v>Pending</v>
      </c>
      <c r="K50" s="25"/>
    </row>
    <row r="51">
      <c r="C51" s="21">
        <f>IFERROR(__xludf.DUMMYFUNCTION("""COMPUTED_VALUE"""),1092.0)</f>
        <v>1092</v>
      </c>
      <c r="D51" s="22">
        <f>IFERROR(__xludf.DUMMYFUNCTION("""COMPUTED_VALUE"""),45298.0)</f>
        <v>45298</v>
      </c>
      <c r="E51" s="23" t="str">
        <f>IFERROR(__xludf.DUMMYFUNCTION("""COMPUTED_VALUE"""),"Client Revenue")</f>
        <v>Client Revenue</v>
      </c>
      <c r="F51" s="23" t="str">
        <f>IFERROR(__xludf.DUMMYFUNCTION("""COMPUTED_VALUE"""),"Client D")</f>
        <v>Client D</v>
      </c>
      <c r="G51" s="23" t="str">
        <f>IFERROR(__xludf.DUMMYFUNCTION("""COMPUTED_VALUE"""),"Sales")</f>
        <v>Sales</v>
      </c>
      <c r="H51" s="24">
        <f>IFERROR(__xludf.DUMMYFUNCTION("""COMPUTED_VALUE"""),0.0)</f>
        <v>0</v>
      </c>
      <c r="I51" s="24">
        <f>IFERROR(__xludf.DUMMYFUNCTION("""COMPUTED_VALUE"""),3918.0)</f>
        <v>3918</v>
      </c>
      <c r="J51" s="23" t="str">
        <f>IFERROR(__xludf.DUMMYFUNCTION("""COMPUTED_VALUE"""),"Pending")</f>
        <v>Pending</v>
      </c>
      <c r="K51" s="25"/>
    </row>
    <row r="52">
      <c r="C52" s="21">
        <f>IFERROR(__xludf.DUMMYFUNCTION("""COMPUTED_VALUE"""),1097.0)</f>
        <v>1097</v>
      </c>
      <c r="D52" s="22">
        <f>IFERROR(__xludf.DUMMYFUNCTION("""COMPUTED_VALUE"""),45361.0)</f>
        <v>45361</v>
      </c>
      <c r="E52" s="23" t="str">
        <f>IFERROR(__xludf.DUMMYFUNCTION("""COMPUTED_VALUE"""),"Office Supplies")</f>
        <v>Office Supplies</v>
      </c>
      <c r="F52" s="23" t="str">
        <f>IFERROR(__xludf.DUMMYFUNCTION("""COMPUTED_VALUE"""),"OfficeMart")</f>
        <v>OfficeMart</v>
      </c>
      <c r="G52" s="23" t="str">
        <f>IFERROR(__xludf.DUMMYFUNCTION("""COMPUTED_VALUE"""),"Finance")</f>
        <v>Finance</v>
      </c>
      <c r="H52" s="24">
        <f>IFERROR(__xludf.DUMMYFUNCTION("""COMPUTED_VALUE"""),1512.0)</f>
        <v>1512</v>
      </c>
      <c r="I52" s="24">
        <f>IFERROR(__xludf.DUMMYFUNCTION("""COMPUTED_VALUE"""),0.0)</f>
        <v>0</v>
      </c>
      <c r="J52" s="23" t="str">
        <f>IFERROR(__xludf.DUMMYFUNCTION("""COMPUTED_VALUE"""),"Pending")</f>
        <v>Pending</v>
      </c>
      <c r="K52" s="25"/>
    </row>
    <row r="53">
      <c r="C53" s="21">
        <f>IFERROR(__xludf.DUMMYFUNCTION("""COMPUTED_VALUE"""),1102.0)</f>
        <v>1102</v>
      </c>
      <c r="D53" s="22">
        <f>IFERROR(__xludf.DUMMYFUNCTION("""COMPUTED_VALUE"""),45338.0)</f>
        <v>45338</v>
      </c>
      <c r="E53" s="23" t="str">
        <f>IFERROR(__xludf.DUMMYFUNCTION("""COMPUTED_VALUE"""),"Marketing Tools")</f>
        <v>Marketing Tools</v>
      </c>
      <c r="F53" s="23" t="str">
        <f>IFERROR(__xludf.DUMMYFUNCTION("""COMPUTED_VALUE"""),"MailChimp")</f>
        <v>MailChimp</v>
      </c>
      <c r="G53" s="23" t="str">
        <f>IFERROR(__xludf.DUMMYFUNCTION("""COMPUTED_VALUE"""),"Marketing")</f>
        <v>Marketing</v>
      </c>
      <c r="H53" s="24">
        <f>IFERROR(__xludf.DUMMYFUNCTION("""COMPUTED_VALUE"""),1773.0)</f>
        <v>1773</v>
      </c>
      <c r="I53" s="24">
        <f>IFERROR(__xludf.DUMMYFUNCTION("""COMPUTED_VALUE"""),0.0)</f>
        <v>0</v>
      </c>
      <c r="J53" s="23" t="str">
        <f>IFERROR(__xludf.DUMMYFUNCTION("""COMPUTED_VALUE"""),"Pending")</f>
        <v>Pending</v>
      </c>
      <c r="K53" s="25"/>
    </row>
    <row r="54">
      <c r="C54" s="21">
        <f>IFERROR(__xludf.DUMMYFUNCTION("""COMPUTED_VALUE"""),1108.0)</f>
        <v>1108</v>
      </c>
      <c r="D54" s="22">
        <f>IFERROR(__xludf.DUMMYFUNCTION("""COMPUTED_VALUE"""),45374.0)</f>
        <v>45374</v>
      </c>
      <c r="E54" s="23" t="str">
        <f>IFERROR(__xludf.DUMMYFUNCTION("""COMPUTED_VALUE"""),"Subscriptions")</f>
        <v>Subscriptions</v>
      </c>
      <c r="F54" s="23" t="str">
        <f>IFERROR(__xludf.DUMMYFUNCTION("""COMPUTED_VALUE"""),"Atlassian")</f>
        <v>Atlassian</v>
      </c>
      <c r="G54" s="23" t="str">
        <f>IFERROR(__xludf.DUMMYFUNCTION("""COMPUTED_VALUE"""),"Sales")</f>
        <v>Sales</v>
      </c>
      <c r="H54" s="24">
        <f>IFERROR(__xludf.DUMMYFUNCTION("""COMPUTED_VALUE"""),2821.0)</f>
        <v>2821</v>
      </c>
      <c r="I54" s="24">
        <f>IFERROR(__xludf.DUMMYFUNCTION("""COMPUTED_VALUE"""),0.0)</f>
        <v>0</v>
      </c>
      <c r="J54" s="23" t="str">
        <f>IFERROR(__xludf.DUMMYFUNCTION("""COMPUTED_VALUE"""),"Pending")</f>
        <v>Pending</v>
      </c>
      <c r="K54" s="25"/>
    </row>
    <row r="55">
      <c r="C55" s="21">
        <f>IFERROR(__xludf.DUMMYFUNCTION("""COMPUTED_VALUE"""),1112.0)</f>
        <v>1112</v>
      </c>
      <c r="D55" s="22">
        <f>IFERROR(__xludf.DUMMYFUNCTION("""COMPUTED_VALUE"""),45318.0)</f>
        <v>45318</v>
      </c>
      <c r="E55" s="23" t="str">
        <f>IFERROR(__xludf.DUMMYFUNCTION("""COMPUTED_VALUE"""),"Advertising")</f>
        <v>Advertising</v>
      </c>
      <c r="F55" s="23" t="str">
        <f>IFERROR(__xludf.DUMMYFUNCTION("""COMPUTED_VALUE"""),"Google Ads")</f>
        <v>Google Ads</v>
      </c>
      <c r="G55" s="23" t="str">
        <f>IFERROR(__xludf.DUMMYFUNCTION("""COMPUTED_VALUE"""),"IT")</f>
        <v>IT</v>
      </c>
      <c r="H55" s="24">
        <f>IFERROR(__xludf.DUMMYFUNCTION("""COMPUTED_VALUE"""),2443.0)</f>
        <v>2443</v>
      </c>
      <c r="I55" s="24">
        <f>IFERROR(__xludf.DUMMYFUNCTION("""COMPUTED_VALUE"""),0.0)</f>
        <v>0</v>
      </c>
      <c r="J55" s="23" t="str">
        <f>IFERROR(__xludf.DUMMYFUNCTION("""COMPUTED_VALUE"""),"Pending")</f>
        <v>Pending</v>
      </c>
      <c r="K55" s="25"/>
    </row>
    <row r="56">
      <c r="C56" s="21">
        <f>IFERROR(__xludf.DUMMYFUNCTION("""COMPUTED_VALUE"""),1115.0)</f>
        <v>1115</v>
      </c>
      <c r="D56" s="22">
        <f>IFERROR(__xludf.DUMMYFUNCTION("""COMPUTED_VALUE"""),45327.0)</f>
        <v>45327</v>
      </c>
      <c r="E56" s="23" t="str">
        <f>IFERROR(__xludf.DUMMYFUNCTION("""COMPUTED_VALUE"""),"Payment Processing")</f>
        <v>Payment Processing</v>
      </c>
      <c r="F56" s="23" t="str">
        <f>IFERROR(__xludf.DUMMYFUNCTION("""COMPUTED_VALUE"""),"Stripe")</f>
        <v>Stripe</v>
      </c>
      <c r="G56" s="23" t="str">
        <f>IFERROR(__xludf.DUMMYFUNCTION("""COMPUTED_VALUE"""),"Marketing")</f>
        <v>Marketing</v>
      </c>
      <c r="H56" s="24">
        <f>IFERROR(__xludf.DUMMYFUNCTION("""COMPUTED_VALUE"""),2316.0)</f>
        <v>2316</v>
      </c>
      <c r="I56" s="24">
        <f>IFERROR(__xludf.DUMMYFUNCTION("""COMPUTED_VALUE"""),0.0)</f>
        <v>0</v>
      </c>
      <c r="J56" s="23" t="str">
        <f>IFERROR(__xludf.DUMMYFUNCTION("""COMPUTED_VALUE"""),"Pending")</f>
        <v>Pending</v>
      </c>
      <c r="K56" s="25"/>
    </row>
    <row r="57">
      <c r="C57" s="21">
        <f>IFERROR(__xludf.DUMMYFUNCTION("""COMPUTED_VALUE"""),1116.0)</f>
        <v>1116</v>
      </c>
      <c r="D57" s="22">
        <f>IFERROR(__xludf.DUMMYFUNCTION("""COMPUTED_VALUE"""),45337.0)</f>
        <v>45337</v>
      </c>
      <c r="E57" s="23" t="str">
        <f>IFERROR(__xludf.DUMMYFUNCTION("""COMPUTED_VALUE"""),"Software Licenses")</f>
        <v>Software Licenses</v>
      </c>
      <c r="F57" s="23" t="str">
        <f>IFERROR(__xludf.DUMMYFUNCTION("""COMPUTED_VALUE"""),"JetBrains")</f>
        <v>JetBrains</v>
      </c>
      <c r="G57" s="23" t="str">
        <f>IFERROR(__xludf.DUMMYFUNCTION("""COMPUTED_VALUE"""),"Operations")</f>
        <v>Operations</v>
      </c>
      <c r="H57" s="24">
        <f>IFERROR(__xludf.DUMMYFUNCTION("""COMPUTED_VALUE"""),2465.0)</f>
        <v>2465</v>
      </c>
      <c r="I57" s="24">
        <f>IFERROR(__xludf.DUMMYFUNCTION("""COMPUTED_VALUE"""),0.0)</f>
        <v>0</v>
      </c>
      <c r="J57" s="23" t="str">
        <f>IFERROR(__xludf.DUMMYFUNCTION("""COMPUTED_VALUE"""),"Pending")</f>
        <v>Pending</v>
      </c>
      <c r="K57" s="25"/>
    </row>
    <row r="58">
      <c r="C58" s="21">
        <f>IFERROR(__xludf.DUMMYFUNCTION("""COMPUTED_VALUE"""),1120.0)</f>
        <v>1120</v>
      </c>
      <c r="D58" s="22">
        <f>IFERROR(__xludf.DUMMYFUNCTION("""COMPUTED_VALUE"""),45331.0)</f>
        <v>45331</v>
      </c>
      <c r="E58" s="23" t="str">
        <f>IFERROR(__xludf.DUMMYFUNCTION("""COMPUTED_VALUE"""),"Advertising")</f>
        <v>Advertising</v>
      </c>
      <c r="F58" s="23" t="str">
        <f>IFERROR(__xludf.DUMMYFUNCTION("""COMPUTED_VALUE"""),"Google Ads")</f>
        <v>Google Ads</v>
      </c>
      <c r="G58" s="23" t="str">
        <f>IFERROR(__xludf.DUMMYFUNCTION("""COMPUTED_VALUE"""),"Finance")</f>
        <v>Finance</v>
      </c>
      <c r="H58" s="24">
        <f>IFERROR(__xludf.DUMMYFUNCTION("""COMPUTED_VALUE"""),3702.0)</f>
        <v>3702</v>
      </c>
      <c r="I58" s="24">
        <f>IFERROR(__xludf.DUMMYFUNCTION("""COMPUTED_VALUE"""),0.0)</f>
        <v>0</v>
      </c>
      <c r="J58" s="23" t="str">
        <f>IFERROR(__xludf.DUMMYFUNCTION("""COMPUTED_VALUE"""),"Pending")</f>
        <v>Pending</v>
      </c>
      <c r="K58" s="25"/>
    </row>
    <row r="59">
      <c r="C59" s="21">
        <f>IFERROR(__xludf.DUMMYFUNCTION("""COMPUTED_VALUE"""),1122.0)</f>
        <v>1122</v>
      </c>
      <c r="D59" s="22">
        <f>IFERROR(__xludf.DUMMYFUNCTION("""COMPUTED_VALUE"""),45382.0)</f>
        <v>45382</v>
      </c>
      <c r="E59" s="23" t="str">
        <f>IFERROR(__xludf.DUMMYFUNCTION("""COMPUTED_VALUE"""),"Advertising")</f>
        <v>Advertising</v>
      </c>
      <c r="F59" s="23" t="str">
        <f>IFERROR(__xludf.DUMMYFUNCTION("""COMPUTED_VALUE"""),"Facebook Ads")</f>
        <v>Facebook Ads</v>
      </c>
      <c r="G59" s="23" t="str">
        <f>IFERROR(__xludf.DUMMYFUNCTION("""COMPUTED_VALUE"""),"Operations")</f>
        <v>Operations</v>
      </c>
      <c r="H59" s="24">
        <f>IFERROR(__xludf.DUMMYFUNCTION("""COMPUTED_VALUE"""),3800.0)</f>
        <v>3800</v>
      </c>
      <c r="I59" s="24">
        <f>IFERROR(__xludf.DUMMYFUNCTION("""COMPUTED_VALUE"""),0.0)</f>
        <v>0</v>
      </c>
      <c r="J59" s="23" t="str">
        <f>IFERROR(__xludf.DUMMYFUNCTION("""COMPUTED_VALUE"""),"Pending")</f>
        <v>Pending</v>
      </c>
      <c r="K59" s="25" t="str">
        <f>IFERROR(__xludf.DUMMYFUNCTION("""COMPUTED_VALUE"""),"Check discrepancy")</f>
        <v>Check discrepancy</v>
      </c>
    </row>
    <row r="60">
      <c r="C60" s="21">
        <f>IFERROR(__xludf.DUMMYFUNCTION("""COMPUTED_VALUE"""),1128.0)</f>
        <v>1128</v>
      </c>
      <c r="D60" s="22">
        <f>IFERROR(__xludf.DUMMYFUNCTION("""COMPUTED_VALUE"""),45329.0)</f>
        <v>45329</v>
      </c>
      <c r="E60" s="23" t="str">
        <f>IFERROR(__xludf.DUMMYFUNCTION("""COMPUTED_VALUE"""),"Office Supplies")</f>
        <v>Office Supplies</v>
      </c>
      <c r="F60" s="23" t="str">
        <f>IFERROR(__xludf.DUMMYFUNCTION("""COMPUTED_VALUE"""),"Staples")</f>
        <v>Staples</v>
      </c>
      <c r="G60" s="23" t="str">
        <f>IFERROR(__xludf.DUMMYFUNCTION("""COMPUTED_VALUE"""),"Marketing")</f>
        <v>Marketing</v>
      </c>
      <c r="H60" s="24">
        <f>IFERROR(__xludf.DUMMYFUNCTION("""COMPUTED_VALUE"""),3535.0)</f>
        <v>3535</v>
      </c>
      <c r="I60" s="24">
        <f>IFERROR(__xludf.DUMMYFUNCTION("""COMPUTED_VALUE"""),0.0)</f>
        <v>0</v>
      </c>
      <c r="J60" s="23" t="str">
        <f>IFERROR(__xludf.DUMMYFUNCTION("""COMPUTED_VALUE"""),"Pending")</f>
        <v>Pending</v>
      </c>
      <c r="K60" s="25"/>
    </row>
    <row r="61">
      <c r="C61" s="21">
        <f>IFERROR(__xludf.DUMMYFUNCTION("""COMPUTED_VALUE"""),1133.0)</f>
        <v>1133</v>
      </c>
      <c r="D61" s="22">
        <f>IFERROR(__xludf.DUMMYFUNCTION("""COMPUTED_VALUE"""),45298.0)</f>
        <v>45298</v>
      </c>
      <c r="E61" s="23" t="str">
        <f>IFERROR(__xludf.DUMMYFUNCTION("""COMPUTED_VALUE"""),"Travel")</f>
        <v>Travel</v>
      </c>
      <c r="F61" s="23" t="str">
        <f>IFERROR(__xludf.DUMMYFUNCTION("""COMPUTED_VALUE"""),"FlyAway")</f>
        <v>FlyAway</v>
      </c>
      <c r="G61" s="23" t="str">
        <f>IFERROR(__xludf.DUMMYFUNCTION("""COMPUTED_VALUE"""),"Operations")</f>
        <v>Operations</v>
      </c>
      <c r="H61" s="24">
        <f>IFERROR(__xludf.DUMMYFUNCTION("""COMPUTED_VALUE"""),2398.0)</f>
        <v>2398</v>
      </c>
      <c r="I61" s="24">
        <f>IFERROR(__xludf.DUMMYFUNCTION("""COMPUTED_VALUE"""),0.0)</f>
        <v>0</v>
      </c>
      <c r="J61" s="23" t="str">
        <f>IFERROR(__xludf.DUMMYFUNCTION("""COMPUTED_VALUE"""),"Pending")</f>
        <v>Pending</v>
      </c>
      <c r="K61" s="25"/>
    </row>
    <row r="62">
      <c r="C62" s="21">
        <f>IFERROR(__xludf.DUMMYFUNCTION("""COMPUTED_VALUE"""),1134.0)</f>
        <v>1134</v>
      </c>
      <c r="D62" s="22">
        <f>IFERROR(__xludf.DUMMYFUNCTION("""COMPUTED_VALUE"""),45351.0)</f>
        <v>45351</v>
      </c>
      <c r="E62" s="23" t="str">
        <f>IFERROR(__xludf.DUMMYFUNCTION("""COMPUTED_VALUE"""),"Payment Processing")</f>
        <v>Payment Processing</v>
      </c>
      <c r="F62" s="23" t="str">
        <f>IFERROR(__xludf.DUMMYFUNCTION("""COMPUTED_VALUE"""),"PayPal")</f>
        <v>PayPal</v>
      </c>
      <c r="G62" s="23" t="str">
        <f>IFERROR(__xludf.DUMMYFUNCTION("""COMPUTED_VALUE"""),"Sales")</f>
        <v>Sales</v>
      </c>
      <c r="H62" s="24">
        <f>IFERROR(__xludf.DUMMYFUNCTION("""COMPUTED_VALUE"""),2120.0)</f>
        <v>2120</v>
      </c>
      <c r="I62" s="24">
        <f>IFERROR(__xludf.DUMMYFUNCTION("""COMPUTED_VALUE"""),0.0)</f>
        <v>0</v>
      </c>
      <c r="J62" s="23" t="str">
        <f>IFERROR(__xludf.DUMMYFUNCTION("""COMPUTED_VALUE"""),"Pending")</f>
        <v>Pending</v>
      </c>
      <c r="K62" s="25"/>
    </row>
    <row r="63">
      <c r="C63" s="21">
        <f>IFERROR(__xludf.DUMMYFUNCTION("""COMPUTED_VALUE"""),1137.0)</f>
        <v>1137</v>
      </c>
      <c r="D63" s="22">
        <f>IFERROR(__xludf.DUMMYFUNCTION("""COMPUTED_VALUE"""),45378.0)</f>
        <v>45378</v>
      </c>
      <c r="E63" s="23" t="str">
        <f>IFERROR(__xludf.DUMMYFUNCTION("""COMPUTED_VALUE"""),"Consulting")</f>
        <v>Consulting</v>
      </c>
      <c r="F63" s="23" t="str">
        <f>IFERROR(__xludf.DUMMYFUNCTION("""COMPUTED_VALUE"""),"BizAdvisors")</f>
        <v>BizAdvisors</v>
      </c>
      <c r="G63" s="23" t="str">
        <f>IFERROR(__xludf.DUMMYFUNCTION("""COMPUTED_VALUE"""),"Finance")</f>
        <v>Finance</v>
      </c>
      <c r="H63" s="24">
        <f>IFERROR(__xludf.DUMMYFUNCTION("""COMPUTED_VALUE"""),2968.0)</f>
        <v>2968</v>
      </c>
      <c r="I63" s="24">
        <f>IFERROR(__xludf.DUMMYFUNCTION("""COMPUTED_VALUE"""),0.0)</f>
        <v>0</v>
      </c>
      <c r="J63" s="23" t="str">
        <f>IFERROR(__xludf.DUMMYFUNCTION("""COMPUTED_VALUE"""),"Pending")</f>
        <v>Pending</v>
      </c>
      <c r="K63" s="25"/>
    </row>
    <row r="64">
      <c r="C64" s="21">
        <f>IFERROR(__xludf.DUMMYFUNCTION("""COMPUTED_VALUE"""),1139.0)</f>
        <v>1139</v>
      </c>
      <c r="D64" s="22">
        <f>IFERROR(__xludf.DUMMYFUNCTION("""COMPUTED_VALUE"""),45378.0)</f>
        <v>45378</v>
      </c>
      <c r="E64" s="23" t="str">
        <f>IFERROR(__xludf.DUMMYFUNCTION("""COMPUTED_VALUE"""),"Consulting")</f>
        <v>Consulting</v>
      </c>
      <c r="F64" s="23" t="str">
        <f>IFERROR(__xludf.DUMMYFUNCTION("""COMPUTED_VALUE"""),"ConsultX")</f>
        <v>ConsultX</v>
      </c>
      <c r="G64" s="23" t="str">
        <f>IFERROR(__xludf.DUMMYFUNCTION("""COMPUTED_VALUE"""),"Sales")</f>
        <v>Sales</v>
      </c>
      <c r="H64" s="24">
        <f>IFERROR(__xludf.DUMMYFUNCTION("""COMPUTED_VALUE"""),2375.0)</f>
        <v>2375</v>
      </c>
      <c r="I64" s="24">
        <f>IFERROR(__xludf.DUMMYFUNCTION("""COMPUTED_VALUE"""),0.0)</f>
        <v>0</v>
      </c>
      <c r="J64" s="23" t="str">
        <f>IFERROR(__xludf.DUMMYFUNCTION("""COMPUTED_VALUE"""),"Pending")</f>
        <v>Pending</v>
      </c>
      <c r="K64" s="25"/>
    </row>
    <row r="65">
      <c r="C65" s="21">
        <f>IFERROR(__xludf.DUMMYFUNCTION("""COMPUTED_VALUE"""),1140.0)</f>
        <v>1140</v>
      </c>
      <c r="D65" s="22">
        <f>IFERROR(__xludf.DUMMYFUNCTION("""COMPUTED_VALUE"""),45328.0)</f>
        <v>45328</v>
      </c>
      <c r="E65" s="23" t="str">
        <f>IFERROR(__xludf.DUMMYFUNCTION("""COMPUTED_VALUE"""),"Advertising")</f>
        <v>Advertising</v>
      </c>
      <c r="F65" s="23" t="str">
        <f>IFERROR(__xludf.DUMMYFUNCTION("""COMPUTED_VALUE"""),"Facebook Ads")</f>
        <v>Facebook Ads</v>
      </c>
      <c r="G65" s="23" t="str">
        <f>IFERROR(__xludf.DUMMYFUNCTION("""COMPUTED_VALUE"""),"IT")</f>
        <v>IT</v>
      </c>
      <c r="H65" s="24">
        <f>IFERROR(__xludf.DUMMYFUNCTION("""COMPUTED_VALUE"""),1822.0)</f>
        <v>1822</v>
      </c>
      <c r="I65" s="24">
        <f>IFERROR(__xludf.DUMMYFUNCTION("""COMPUTED_VALUE"""),0.0)</f>
        <v>0</v>
      </c>
      <c r="J65" s="23" t="str">
        <f>IFERROR(__xludf.DUMMYFUNCTION("""COMPUTED_VALUE"""),"Pending")</f>
        <v>Pending</v>
      </c>
      <c r="K65" s="25"/>
    </row>
    <row r="66">
      <c r="C66" s="26">
        <f>IFERROR(__xludf.DUMMYFUNCTION("""COMPUTED_VALUE"""),1145.0)</f>
        <v>1145</v>
      </c>
      <c r="D66" s="27">
        <f>IFERROR(__xludf.DUMMYFUNCTION("""COMPUTED_VALUE"""),45346.0)</f>
        <v>45346</v>
      </c>
      <c r="E66" s="28" t="str">
        <f>IFERROR(__xludf.DUMMYFUNCTION("""COMPUTED_VALUE"""),"Payment Processing")</f>
        <v>Payment Processing</v>
      </c>
      <c r="F66" s="28" t="str">
        <f>IFERROR(__xludf.DUMMYFUNCTION("""COMPUTED_VALUE"""),"PayPal")</f>
        <v>PayPal</v>
      </c>
      <c r="G66" s="28" t="str">
        <f>IFERROR(__xludf.DUMMYFUNCTION("""COMPUTED_VALUE"""),"Operations")</f>
        <v>Operations</v>
      </c>
      <c r="H66" s="29">
        <f>IFERROR(__xludf.DUMMYFUNCTION("""COMPUTED_VALUE"""),1985.0)</f>
        <v>1985</v>
      </c>
      <c r="I66" s="29">
        <f>IFERROR(__xludf.DUMMYFUNCTION("""COMPUTED_VALUE"""),0.0)</f>
        <v>0</v>
      </c>
      <c r="J66" s="28" t="str">
        <f>IFERROR(__xludf.DUMMYFUNCTION("""COMPUTED_VALUE"""),"Pending")</f>
        <v>Pending</v>
      </c>
      <c r="K66" s="30"/>
    </row>
  </sheetData>
  <mergeCells count="8">
    <mergeCell ref="B7:D7"/>
    <mergeCell ref="F7:H7"/>
    <mergeCell ref="J7:L7"/>
    <mergeCell ref="B4:D6"/>
    <mergeCell ref="B1:L3"/>
    <mergeCell ref="F4:H6"/>
    <mergeCell ref="J4:L6"/>
    <mergeCell ref="B26:L28"/>
  </mergeCells>
  <conditionalFormatting sqref="J7:L7">
    <cfRule type="cellIs" dxfId="0" priority="1" operator="lessThan">
      <formula>0</formula>
    </cfRule>
  </conditionalFormatting>
  <drawing r:id="rId1"/>
</worksheet>
</file>